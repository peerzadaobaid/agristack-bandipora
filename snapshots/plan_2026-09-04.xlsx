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by Patwari" sheetId="1" state="visible" r:id="rId3"/>
    <sheet name="5-Day Completion (Tehsil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<sst xmlns="http://schemas.openxmlformats.org/spreadsheetml/2006/main" count="509" uniqueCount="216">
  <si>
    <t xml:space="preserve">AGRISTACK BANDIPORA — PATWARI-WISE PLAN (planning start: 05-Sep-2026)</t>
  </si>
  <si>
    <t xml:space="preserve">Rules: Each patwari finishes highest-% village first  ·  Min 80/day per village  ·  Complete within 25 days (deadline 30-Sep-2026)  ·  Daily Target = MAX(80, ⌈Remaining ÷ 25⌉)</t>
  </si>
  <si>
    <t xml:space="preserve">Colour key:</t>
  </si>
  <si>
    <t xml:space="preserve">  1st — START NOW  </t>
  </si>
  <si>
    <t xml:space="preserve">  2nd — NEXT  </t>
  </si>
  <si>
    <t xml:space="preserve">  3rd  </t>
  </si>
  <si>
    <t xml:space="preserve">  4th+  </t>
  </si>
  <si>
    <t xml:space="preserve">  Completed  </t>
  </si>
  <si>
    <t xml:space="preserve">S.No</t>
  </si>
  <si>
    <t xml:space="preserve">Patwari</t>
  </si>
  <si>
    <t xml:space="preserve">Start Order</t>
  </si>
  <si>
    <t xml:space="preserve">Tehsil</t>
  </si>
  <si>
    <t xml:space="preserve">Village</t>
  </si>
  <si>
    <t xml:space="preserve">Total Survey Nos</t>
  </si>
  <si>
    <t xml:space="preserve">Submitted</t>
  </si>
  <si>
    <t xml:space="preserve">% Completion</t>
  </si>
  <si>
    <t xml:space="preserve">Daily Target</t>
  </si>
  <si>
    <t xml:space="preserve">Expected Date of Completion</t>
  </si>
  <si>
    <t xml:space="preserve">Sajid Ahmad</t>
  </si>
  <si>
    <t xml:space="preserve">Completed</t>
  </si>
  <si>
    <t xml:space="preserve">AJAS</t>
  </si>
  <si>
    <t xml:space="preserve">S.K.Payeen</t>
  </si>
  <si>
    <t xml:space="preserve">Mohd AMin</t>
  </si>
  <si>
    <t xml:space="preserve">1st — START NOW</t>
  </si>
  <si>
    <t xml:space="preserve">Ajas</t>
  </si>
  <si>
    <t xml:space="preserve">parviz Ahmad</t>
  </si>
  <si>
    <t xml:space="preserve">Noorabad Ajas</t>
  </si>
  <si>
    <t xml:space="preserve">Altaf Ahmad Rather</t>
  </si>
  <si>
    <t xml:space="preserve">ALOOSA</t>
  </si>
  <si>
    <t xml:space="preserve">Ashtangoo</t>
  </si>
  <si>
    <t xml:space="preserve">Sajad Ahmad Shah</t>
  </si>
  <si>
    <t xml:space="preserve">Mangnipora</t>
  </si>
  <si>
    <t xml:space="preserve">Rayees Ahmad Kumar</t>
  </si>
  <si>
    <t xml:space="preserve">Quil Muqam</t>
  </si>
  <si>
    <t xml:space="preserve">Mushtaq Ahmad Bhuroo</t>
  </si>
  <si>
    <t xml:space="preserve">Malangam</t>
  </si>
  <si>
    <t xml:space="preserve">Bilal ahmad Dar</t>
  </si>
  <si>
    <t xml:space="preserve">Aloosa</t>
  </si>
  <si>
    <t xml:space="preserve">Mudasir Yaseen</t>
  </si>
  <si>
    <t xml:space="preserve">Kehnoosa</t>
  </si>
  <si>
    <t xml:space="preserve">Sajad Ahmad Bhat</t>
  </si>
  <si>
    <t xml:space="preserve">BANDIPORA</t>
  </si>
  <si>
    <t xml:space="preserve">Garoora</t>
  </si>
  <si>
    <t xml:space="preserve">MUSHTAQ MUNTIZAR</t>
  </si>
  <si>
    <t xml:space="preserve">Nadihal</t>
  </si>
  <si>
    <t xml:space="preserve">Brar</t>
  </si>
  <si>
    <t xml:space="preserve">Tufail Ahmad Bhat</t>
  </si>
  <si>
    <t xml:space="preserve">Onagam</t>
  </si>
  <si>
    <t xml:space="preserve">Aijaz Hassan Buhroo</t>
  </si>
  <si>
    <t xml:space="preserve">Nass</t>
  </si>
  <si>
    <t xml:space="preserve">2nd — NEXT</t>
  </si>
  <si>
    <t xml:space="preserve">Bandipora</t>
  </si>
  <si>
    <t xml:space="preserve">Dachigam</t>
  </si>
  <si>
    <t xml:space="preserve">Kharpora</t>
  </si>
  <si>
    <t xml:space="preserve">Papachan</t>
  </si>
  <si>
    <t xml:space="preserve">Mohammad rafiq</t>
  </si>
  <si>
    <t xml:space="preserve">Bonakoot</t>
  </si>
  <si>
    <t xml:space="preserve">Athwatoo</t>
  </si>
  <si>
    <t xml:space="preserve">Labkachal</t>
  </si>
  <si>
    <t xml:space="preserve">Weven</t>
  </si>
  <si>
    <t xml:space="preserve">AB RASHID KHAN</t>
  </si>
  <si>
    <t xml:space="preserve">Gund Dachina</t>
  </si>
  <si>
    <t xml:space="preserve">Chittibanday</t>
  </si>
  <si>
    <t xml:space="preserve">Mir Ehsanul Haq</t>
  </si>
  <si>
    <t xml:space="preserve">Gund Qasier</t>
  </si>
  <si>
    <t xml:space="preserve">Lowdara</t>
  </si>
  <si>
    <t xml:space="preserve">3rd</t>
  </si>
  <si>
    <t xml:space="preserve">Gundipora Rampora</t>
  </si>
  <si>
    <t xml:space="preserve">4th</t>
  </si>
  <si>
    <t xml:space="preserve">Konan Babagund</t>
  </si>
  <si>
    <t xml:space="preserve">5th</t>
  </si>
  <si>
    <t xml:space="preserve">Madder</t>
  </si>
  <si>
    <t xml:space="preserve">Checki Arsalakhan</t>
  </si>
  <si>
    <t xml:space="preserve">Gamaroo</t>
  </si>
  <si>
    <t xml:space="preserve">Takiya Ahmad Shah</t>
  </si>
  <si>
    <t xml:space="preserve">kaka ram</t>
  </si>
  <si>
    <t xml:space="preserve">Aragam</t>
  </si>
  <si>
    <t xml:space="preserve">Wani Sajad Rasool</t>
  </si>
  <si>
    <t xml:space="preserve">Bhutto</t>
  </si>
  <si>
    <t xml:space="preserve">Ayatmulla</t>
  </si>
  <si>
    <t xml:space="preserve">Sonerwani</t>
  </si>
  <si>
    <t xml:space="preserve">Ajar</t>
  </si>
  <si>
    <t xml:space="preserve">Ahemshreif</t>
  </si>
  <si>
    <t xml:space="preserve">Check Reshipora</t>
  </si>
  <si>
    <t xml:space="preserve">Mehraj din</t>
  </si>
  <si>
    <t xml:space="preserve">Chuntimulla</t>
  </si>
  <si>
    <t xml:space="preserve">Kudara</t>
  </si>
  <si>
    <t xml:space="preserve">Sumlarshokbaba</t>
  </si>
  <si>
    <t xml:space="preserve">Mudasir Sultan</t>
  </si>
  <si>
    <t xml:space="preserve">Arindardpora</t>
  </si>
  <si>
    <t xml:space="preserve">Shamthan</t>
  </si>
  <si>
    <t xml:space="preserve">MOHD SHAFI DAR</t>
  </si>
  <si>
    <t xml:space="preserve">Panjigam</t>
  </si>
  <si>
    <t xml:space="preserve">Kaloosa Nathpora</t>
  </si>
  <si>
    <t xml:space="preserve">MOHD ARIF KUMAR</t>
  </si>
  <si>
    <t xml:space="preserve">Khayar</t>
  </si>
  <si>
    <t xml:space="preserve">Lawaypora</t>
  </si>
  <si>
    <t xml:space="preserve">Mantrigam</t>
  </si>
  <si>
    <t xml:space="preserve">Chandaji</t>
  </si>
  <si>
    <t xml:space="preserve">Farooq ahmad</t>
  </si>
  <si>
    <t xml:space="preserve">Watapora</t>
  </si>
  <si>
    <t xml:space="preserve">Qazipora Putushai</t>
  </si>
  <si>
    <t xml:space="preserve">Irshad Ahmad Sheikh</t>
  </si>
  <si>
    <t xml:space="preserve">GUREZ</t>
  </si>
  <si>
    <t xml:space="preserve">Shahpora Achoora (Churwan)</t>
  </si>
  <si>
    <t xml:space="preserve">Irfan Shafi Mir</t>
  </si>
  <si>
    <t xml:space="preserve">Kanzalwan Nail</t>
  </si>
  <si>
    <t xml:space="preserve">Gulshanpora</t>
  </si>
  <si>
    <t xml:space="preserve">Koragbal</t>
  </si>
  <si>
    <t xml:space="preserve">Aqib Ali Timroo</t>
  </si>
  <si>
    <t xml:space="preserve">Badwan</t>
  </si>
  <si>
    <t xml:space="preserve">Khandiyal</t>
  </si>
  <si>
    <t xml:space="preserve">Mohd Iqbal</t>
  </si>
  <si>
    <t xml:space="preserve">Markoot</t>
  </si>
  <si>
    <t xml:space="preserve">Dawar</t>
  </si>
  <si>
    <t xml:space="preserve">Mastan Khopri</t>
  </si>
  <si>
    <t xml:space="preserve">Waseem Bashir</t>
  </si>
  <si>
    <t xml:space="preserve">HAJIN</t>
  </si>
  <si>
    <t xml:space="preserve">Gund-I-Prang</t>
  </si>
  <si>
    <t xml:space="preserve">Madwan</t>
  </si>
  <si>
    <t xml:space="preserve">Sari Hari Karan Gund</t>
  </si>
  <si>
    <t xml:space="preserve">Mudasir Ahmad Parray</t>
  </si>
  <si>
    <t xml:space="preserve">Rakhi Hajin</t>
  </si>
  <si>
    <t xml:space="preserve">Vijipara</t>
  </si>
  <si>
    <t xml:space="preserve">Umar Jan</t>
  </si>
  <si>
    <t xml:space="preserve">Gundi Saderkote Sadunara</t>
  </si>
  <si>
    <t xml:space="preserve">Sadunara</t>
  </si>
  <si>
    <t xml:space="preserve">Nazeer Ahmad Lone</t>
  </si>
  <si>
    <t xml:space="preserve">Chandergeern</t>
  </si>
  <si>
    <t xml:space="preserve">Kosumbagh</t>
  </si>
  <si>
    <t xml:space="preserve">Rakh-I-Malgam</t>
  </si>
  <si>
    <t xml:space="preserve">Zoonipora</t>
  </si>
  <si>
    <t xml:space="preserve">Ghulam Mohiddun</t>
  </si>
  <si>
    <t xml:space="preserve">Gundi Jahangir</t>
  </si>
  <si>
    <t xml:space="preserve">Shah Gund</t>
  </si>
  <si>
    <t xml:space="preserve">Gund-I-Balkh</t>
  </si>
  <si>
    <t xml:space="preserve">Kanipora</t>
  </si>
  <si>
    <t xml:space="preserve">Mohd Ashraf Bhat</t>
  </si>
  <si>
    <t xml:space="preserve">Poshwari</t>
  </si>
  <si>
    <t xml:space="preserve">Baharabad</t>
  </si>
  <si>
    <t xml:space="preserve">Gundi Ramzan</t>
  </si>
  <si>
    <t xml:space="preserve">Adil Murtaza</t>
  </si>
  <si>
    <t xml:space="preserve">Gundi Boon</t>
  </si>
  <si>
    <t xml:space="preserve">Naidkhai</t>
  </si>
  <si>
    <t xml:space="preserve">Gulabwari</t>
  </si>
  <si>
    <t xml:space="preserve">Tangpora</t>
  </si>
  <si>
    <t xml:space="preserve">Aijaz Ahmad Wani</t>
  </si>
  <si>
    <t xml:space="preserve">Hajin</t>
  </si>
  <si>
    <t xml:space="preserve">mehraj abdullah</t>
  </si>
  <si>
    <t xml:space="preserve">SUMBAL</t>
  </si>
  <si>
    <t xml:space="preserve">Sumbal Inderkot</t>
  </si>
  <si>
    <t xml:space="preserve">Wahidpora</t>
  </si>
  <si>
    <t xml:space="preserve">Tawseef Ahmad</t>
  </si>
  <si>
    <t xml:space="preserve">Chewa</t>
  </si>
  <si>
    <t xml:space="preserve">Fariq Hussain</t>
  </si>
  <si>
    <t xml:space="preserve">Gaad Khud</t>
  </si>
  <si>
    <t xml:space="preserve">Najin</t>
  </si>
  <si>
    <t xml:space="preserve">Summair Bashir Haji</t>
  </si>
  <si>
    <t xml:space="preserve">Zalpora</t>
  </si>
  <si>
    <t xml:space="preserve">Fayaz ahmad</t>
  </si>
  <si>
    <t xml:space="preserve">Rakhi Shilvat</t>
  </si>
  <si>
    <t xml:space="preserve">Shilvat</t>
  </si>
  <si>
    <t xml:space="preserve">aijaz Ahmad Bhat</t>
  </si>
  <si>
    <t xml:space="preserve">Sarai Dangerpora</t>
  </si>
  <si>
    <t xml:space="preserve">irfan ahmad</t>
  </si>
  <si>
    <t xml:space="preserve">Gndi Khalil</t>
  </si>
  <si>
    <t xml:space="preserve">Trigam</t>
  </si>
  <si>
    <t xml:space="preserve">Feroz ahmad</t>
  </si>
  <si>
    <t xml:space="preserve">Hilalabad</t>
  </si>
  <si>
    <t xml:space="preserve">ishfaq ahmad</t>
  </si>
  <si>
    <t xml:space="preserve">Odina</t>
  </si>
  <si>
    <t xml:space="preserve">Ganastan</t>
  </si>
  <si>
    <t xml:space="preserve">Malikpora</t>
  </si>
  <si>
    <t xml:space="preserve">waseem ahamd wagay</t>
  </si>
  <si>
    <t xml:space="preserve">Asham</t>
  </si>
  <si>
    <t xml:space="preserve">Nisar Ahmad</t>
  </si>
  <si>
    <t xml:space="preserve">Nowgam</t>
  </si>
  <si>
    <t xml:space="preserve">Rakh-I-Sultanpora</t>
  </si>
  <si>
    <t xml:space="preserve">Gund-I-Nowgam</t>
  </si>
  <si>
    <t xml:space="preserve">muzaffar ahmad</t>
  </si>
  <si>
    <t xml:space="preserve">Rkhi Asham</t>
  </si>
  <si>
    <t xml:space="preserve">Shadipora</t>
  </si>
  <si>
    <t xml:space="preserve">Manzoor ahmad</t>
  </si>
  <si>
    <t xml:space="preserve">TULAIL</t>
  </si>
  <si>
    <t xml:space="preserve">Jurnial</t>
  </si>
  <si>
    <t xml:space="preserve">Dengithal</t>
  </si>
  <si>
    <t xml:space="preserve">Barnaie</t>
  </si>
  <si>
    <t xml:space="preserve">Kilshay Payeen</t>
  </si>
  <si>
    <t xml:space="preserve">Manzgund</t>
  </si>
  <si>
    <t xml:space="preserve">Purana Tulail</t>
  </si>
  <si>
    <t xml:space="preserve">Zedgey</t>
  </si>
  <si>
    <t xml:space="preserve">adil ali</t>
  </si>
  <si>
    <t xml:space="preserve">Baduaab</t>
  </si>
  <si>
    <t xml:space="preserve">Gujran</t>
  </si>
  <si>
    <t xml:space="preserve">Abdullian</t>
  </si>
  <si>
    <t xml:space="preserve">umar afzal</t>
  </si>
  <si>
    <t xml:space="preserve">Saradaab</t>
  </si>
  <si>
    <t xml:space="preserve">Buglinder</t>
  </si>
  <si>
    <t xml:space="preserve">Neeru</t>
  </si>
  <si>
    <t xml:space="preserve">Budugam</t>
  </si>
  <si>
    <t xml:space="preserve">Gund Gul Sheikh</t>
  </si>
  <si>
    <t xml:space="preserve">Hussangam</t>
  </si>
  <si>
    <t xml:space="preserve">Wazirthal</t>
  </si>
  <si>
    <t xml:space="preserve">TOTAL</t>
  </si>
  <si>
    <t xml:space="preserve">Note: Daily Target on each row = the patwari's daily submission rate while working on that village. Since a patwari works one village at a time, the district-wide daily total in the TOTAL row is the sum of ONE rate per patwari.</t>
  </si>
  <si>
    <t xml:space="preserve">5-DAY COMPLETION TIMELINE — TEHSIL WISE (planning start 05-Sep-2026)</t>
  </si>
  <si>
    <t xml:space="preserve">How many villages complete in each 5-day window · Numbers = village counts</t>
  </si>
  <si>
    <t xml:space="preserve">Total Villages</t>
  </si>
  <si>
    <t xml:space="preserve">Already Completed</t>
  </si>
  <si>
    <t xml:space="preserve">06–10 Sep</t>
  </si>
  <si>
    <t xml:space="preserve">11–15 Sep</t>
  </si>
  <si>
    <t xml:space="preserve">16–20 Sep</t>
  </si>
  <si>
    <t xml:space="preserve">21–25 Sep</t>
  </si>
  <si>
    <t xml:space="preserve">26–30 Sep</t>
  </si>
  <si>
    <t xml:space="preserve">To Complete</t>
  </si>
  <si>
    <t xml:space="preserve">Buckets are calendar-day windows from 06-Sep-2026 (day 1). A village is placed in the bucket its Expected Date of Completion falls in. "Already Completed" = villages with 100%+ submission on 03-Sep data.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</si>
</sst>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dd\-mmm\-yyyy"/>
    <numFmt numFmtId="167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EEBF7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9900"/>
      </patternFill>
    </fill>
    <fill>
      <patternFill patternType="solid">
        <fgColor rgb="FFFFE699"/>
        <bgColor rgb="FFFFCC99"/>
      </patternFill>
    </fill>
    <fill>
      <patternFill patternType="solid">
        <fgColor rgb="FF9DC3E6"/>
        <bgColor rgb="FFBFBFBF"/>
      </patternFill>
    </fill>
    <fill>
      <patternFill patternType="solid">
        <fgColor rgb="FFD9D9D9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DEEBF7"/>
        <bgColor rgb="FFDDEBF7"/>
      </patternFill>
    </fill>
    <fill>
      <patternFill patternType="solid">
        <fgColor rgb="FFF2F2F2"/>
        <bgColor rgb="FFDE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E699"/>
      <rgbColor rgb="FF9DC3E6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5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0" min="10" style="0" width="2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  <c r="F3" s="8" t="s">
        <v>7</v>
      </c>
    </row>
    <row r="4" customFormat="false" ht="42" hidden="false" customHeight="true" outlineLevel="0" collapsed="false">
      <c r="A4" s="9" t="s">
        <v>8</v>
      </c>
      <c r="B4" s="9" t="s">
        <v>9</v>
      </c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9" t="s">
        <v>15</v>
      </c>
      <c r="I4" s="9" t="s">
        <v>16</v>
      </c>
      <c r="J4" s="9" t="s">
        <v>17</v>
      </c>
    </row>
    <row r="5" customFormat="false" ht="15" hidden="false" customHeight="false" outlineLevel="0" collapsed="false">
      <c r="A5" s="10" t="n">
        <v>1</v>
      </c>
      <c r="B5" s="11" t="s">
        <v>18</v>
      </c>
      <c r="C5" s="12" t="s">
        <v>19</v>
      </c>
      <c r="D5" s="11" t="s">
        <v>20</v>
      </c>
      <c r="E5" s="13" t="s">
        <v>21</v>
      </c>
      <c r="F5" s="10" t="n">
        <v>382</v>
      </c>
      <c r="G5" s="10" t="n">
        <v>387</v>
      </c>
      <c r="H5" s="14" t="n">
        <f aca="false">IFERROR(G5/F5,0)</f>
        <v>1.0130890052356</v>
      </c>
      <c r="I5" s="10"/>
      <c r="J5" s="10" t="s">
        <v>19</v>
      </c>
    </row>
    <row r="6" customFormat="false" ht="15" hidden="false" customHeight="false" outlineLevel="0" collapsed="false">
      <c r="A6" s="15" t="n">
        <v>2</v>
      </c>
      <c r="B6" s="16" t="s">
        <v>22</v>
      </c>
      <c r="C6" s="17" t="s">
        <v>23</v>
      </c>
      <c r="D6" s="16" t="s">
        <v>20</v>
      </c>
      <c r="E6" s="18" t="s">
        <v>24</v>
      </c>
      <c r="F6" s="15" t="n">
        <v>3312</v>
      </c>
      <c r="G6" s="15" t="n">
        <v>2155</v>
      </c>
      <c r="H6" s="19" t="n">
        <f aca="false">IFERROR(G6/F6,0)</f>
        <v>0.650664251207729</v>
      </c>
      <c r="I6" s="15" t="n">
        <v>80</v>
      </c>
      <c r="J6" s="20" t="n">
        <v>46285</v>
      </c>
    </row>
    <row r="7" customFormat="false" ht="15" hidden="false" customHeight="false" outlineLevel="0" collapsed="false">
      <c r="A7" s="15" t="n">
        <v>3</v>
      </c>
      <c r="B7" s="16" t="s">
        <v>25</v>
      </c>
      <c r="C7" s="17" t="s">
        <v>23</v>
      </c>
      <c r="D7" s="16" t="s">
        <v>20</v>
      </c>
      <c r="E7" s="18" t="s">
        <v>26</v>
      </c>
      <c r="F7" s="15" t="n">
        <v>3159</v>
      </c>
      <c r="G7" s="15" t="n">
        <v>1928</v>
      </c>
      <c r="H7" s="19" t="n">
        <f aca="false">IFERROR(G7/F7,0)</f>
        <v>0.610319721430833</v>
      </c>
      <c r="I7" s="15" t="n">
        <v>80</v>
      </c>
      <c r="J7" s="20" t="n">
        <v>46286</v>
      </c>
    </row>
    <row r="8" customFormat="false" ht="15" hidden="false" customHeight="false" outlineLevel="0" collapsed="false">
      <c r="A8" s="21" t="n">
        <v>4</v>
      </c>
      <c r="B8" s="22" t="s">
        <v>27</v>
      </c>
      <c r="C8" s="23" t="s">
        <v>23</v>
      </c>
      <c r="D8" s="22" t="s">
        <v>28</v>
      </c>
      <c r="E8" s="24" t="s">
        <v>29</v>
      </c>
      <c r="F8" s="21" t="n">
        <v>2204</v>
      </c>
      <c r="G8" s="21" t="n">
        <v>2064</v>
      </c>
      <c r="H8" s="25" t="n">
        <f aca="false">IFERROR(G8/F8,0)</f>
        <v>0.936479128856624</v>
      </c>
      <c r="I8" s="21" t="n">
        <v>80</v>
      </c>
      <c r="J8" s="26" t="n">
        <v>46272</v>
      </c>
    </row>
    <row r="9" customFormat="false" ht="15" hidden="false" customHeight="false" outlineLevel="0" collapsed="false">
      <c r="A9" s="15" t="n">
        <v>5</v>
      </c>
      <c r="B9" s="16" t="s">
        <v>30</v>
      </c>
      <c r="C9" s="17" t="s">
        <v>23</v>
      </c>
      <c r="D9" s="16" t="s">
        <v>28</v>
      </c>
      <c r="E9" s="18" t="s">
        <v>31</v>
      </c>
      <c r="F9" s="15" t="n">
        <v>2922</v>
      </c>
      <c r="G9" s="15" t="n">
        <v>1885</v>
      </c>
      <c r="H9" s="19" t="n">
        <f aca="false">IFERROR(G9/F9,0)</f>
        <v>0.645106091718001</v>
      </c>
      <c r="I9" s="15" t="n">
        <v>80</v>
      </c>
      <c r="J9" s="20" t="n">
        <v>46283</v>
      </c>
    </row>
    <row r="10" customFormat="false" ht="15" hidden="false" customHeight="false" outlineLevel="0" collapsed="false">
      <c r="A10" s="15" t="n">
        <v>6</v>
      </c>
      <c r="B10" s="16" t="s">
        <v>32</v>
      </c>
      <c r="C10" s="17" t="s">
        <v>23</v>
      </c>
      <c r="D10" s="16" t="s">
        <v>28</v>
      </c>
      <c r="E10" s="18" t="s">
        <v>33</v>
      </c>
      <c r="F10" s="15" t="n">
        <v>3558</v>
      </c>
      <c r="G10" s="15" t="n">
        <v>2136</v>
      </c>
      <c r="H10" s="19" t="n">
        <f aca="false">IFERROR(G10/F10,0)</f>
        <v>0.600337268128162</v>
      </c>
      <c r="I10" s="15" t="n">
        <v>80</v>
      </c>
      <c r="J10" s="20" t="n">
        <v>46288</v>
      </c>
    </row>
    <row r="11" customFormat="false" ht="15" hidden="false" customHeight="false" outlineLevel="0" collapsed="false">
      <c r="A11" s="15" t="n">
        <v>7</v>
      </c>
      <c r="B11" s="16" t="s">
        <v>34</v>
      </c>
      <c r="C11" s="17" t="s">
        <v>23</v>
      </c>
      <c r="D11" s="16" t="s">
        <v>28</v>
      </c>
      <c r="E11" s="18" t="s">
        <v>35</v>
      </c>
      <c r="F11" s="15" t="n">
        <v>3547</v>
      </c>
      <c r="G11" s="15" t="n">
        <v>1508</v>
      </c>
      <c r="H11" s="19" t="n">
        <f aca="false">IFERROR(G11/F11,0)</f>
        <v>0.425148012404849</v>
      </c>
      <c r="I11" s="15" t="n">
        <v>82</v>
      </c>
      <c r="J11" s="20" t="n">
        <v>46295</v>
      </c>
    </row>
    <row r="12" customFormat="false" ht="15" hidden="false" customHeight="false" outlineLevel="0" collapsed="false">
      <c r="A12" s="15" t="n">
        <v>8</v>
      </c>
      <c r="B12" s="16" t="s">
        <v>36</v>
      </c>
      <c r="C12" s="17" t="s">
        <v>23</v>
      </c>
      <c r="D12" s="16" t="s">
        <v>28</v>
      </c>
      <c r="E12" s="18" t="s">
        <v>37</v>
      </c>
      <c r="F12" s="15" t="n">
        <v>6138</v>
      </c>
      <c r="G12" s="15" t="n">
        <v>2564</v>
      </c>
      <c r="H12" s="19" t="n">
        <f aca="false">IFERROR(G12/F12,0)</f>
        <v>0.417725643532095</v>
      </c>
      <c r="I12" s="15" t="n">
        <v>143</v>
      </c>
      <c r="J12" s="20" t="n">
        <v>46295</v>
      </c>
    </row>
    <row r="13" customFormat="false" ht="15" hidden="false" customHeight="false" outlineLevel="0" collapsed="false">
      <c r="A13" s="15" t="n">
        <v>9</v>
      </c>
      <c r="B13" s="16" t="s">
        <v>38</v>
      </c>
      <c r="C13" s="17" t="s">
        <v>23</v>
      </c>
      <c r="D13" s="16" t="s">
        <v>28</v>
      </c>
      <c r="E13" s="18" t="s">
        <v>39</v>
      </c>
      <c r="F13" s="15" t="n">
        <v>4052</v>
      </c>
      <c r="G13" s="15" t="n">
        <v>1656</v>
      </c>
      <c r="H13" s="19" t="n">
        <f aca="false">IFERROR(G13/F13,0)</f>
        <v>0.408687068114511</v>
      </c>
      <c r="I13" s="15" t="n">
        <v>96</v>
      </c>
      <c r="J13" s="20" t="n">
        <v>46295</v>
      </c>
    </row>
    <row r="14" customFormat="false" ht="15" hidden="false" customHeight="false" outlineLevel="0" collapsed="false">
      <c r="A14" s="21" t="n">
        <v>10</v>
      </c>
      <c r="B14" s="22" t="s">
        <v>40</v>
      </c>
      <c r="C14" s="23" t="s">
        <v>23</v>
      </c>
      <c r="D14" s="22" t="s">
        <v>41</v>
      </c>
      <c r="E14" s="24" t="s">
        <v>42</v>
      </c>
      <c r="F14" s="21" t="n">
        <v>2966</v>
      </c>
      <c r="G14" s="21" t="n">
        <v>2681</v>
      </c>
      <c r="H14" s="25" t="n">
        <f aca="false">IFERROR(G14/F14,0)</f>
        <v>0.903910991233985</v>
      </c>
      <c r="I14" s="21" t="n">
        <v>80</v>
      </c>
      <c r="J14" s="26" t="n">
        <v>46274</v>
      </c>
    </row>
    <row r="15" customFormat="false" ht="15" hidden="false" customHeight="true" outlineLevel="0" collapsed="false">
      <c r="A15" s="15" t="n">
        <v>11</v>
      </c>
      <c r="B15" s="27" t="s">
        <v>43</v>
      </c>
      <c r="C15" s="17" t="s">
        <v>23</v>
      </c>
      <c r="D15" s="16" t="s">
        <v>41</v>
      </c>
      <c r="E15" s="18" t="s">
        <v>44</v>
      </c>
      <c r="F15" s="15" t="n">
        <v>1767</v>
      </c>
      <c r="G15" s="15" t="n">
        <v>720</v>
      </c>
      <c r="H15" s="19" t="n">
        <f aca="false">IFERROR(G15/F15,0)</f>
        <v>0.407470288624788</v>
      </c>
      <c r="I15" s="15" t="n">
        <v>80</v>
      </c>
      <c r="J15" s="20" t="n">
        <v>46284</v>
      </c>
    </row>
    <row r="16" customFormat="false" ht="15" hidden="false" customHeight="false" outlineLevel="0" collapsed="false">
      <c r="A16" s="10" t="n">
        <v>12</v>
      </c>
      <c r="B16" s="27"/>
      <c r="C16" s="12" t="s">
        <v>19</v>
      </c>
      <c r="D16" s="11" t="s">
        <v>41</v>
      </c>
      <c r="E16" s="13" t="s">
        <v>45</v>
      </c>
      <c r="F16" s="10" t="n">
        <v>902</v>
      </c>
      <c r="G16" s="10" t="n">
        <v>934</v>
      </c>
      <c r="H16" s="14" t="n">
        <f aca="false">IFERROR(G16/F16,0)</f>
        <v>1.03547671840355</v>
      </c>
      <c r="I16" s="10"/>
      <c r="J16" s="10" t="s">
        <v>19</v>
      </c>
    </row>
    <row r="17" customFormat="false" ht="15" hidden="false" customHeight="false" outlineLevel="0" collapsed="false">
      <c r="A17" s="15" t="n">
        <v>13</v>
      </c>
      <c r="B17" s="16" t="s">
        <v>46</v>
      </c>
      <c r="C17" s="17" t="s">
        <v>23</v>
      </c>
      <c r="D17" s="16" t="s">
        <v>41</v>
      </c>
      <c r="E17" s="18" t="s">
        <v>47</v>
      </c>
      <c r="F17" s="15" t="n">
        <v>3446</v>
      </c>
      <c r="G17" s="15" t="n">
        <v>2055</v>
      </c>
      <c r="H17" s="19" t="n">
        <f aca="false">IFERROR(G17/F17,0)</f>
        <v>0.596343586767266</v>
      </c>
      <c r="I17" s="15" t="n">
        <v>80</v>
      </c>
      <c r="J17" s="20" t="n">
        <v>46288</v>
      </c>
    </row>
    <row r="18" customFormat="false" ht="15" hidden="false" customHeight="true" outlineLevel="0" collapsed="false">
      <c r="A18" s="15" t="n">
        <v>14</v>
      </c>
      <c r="B18" s="27" t="s">
        <v>48</v>
      </c>
      <c r="C18" s="17" t="s">
        <v>23</v>
      </c>
      <c r="D18" s="16" t="s">
        <v>41</v>
      </c>
      <c r="E18" s="18" t="s">
        <v>49</v>
      </c>
      <c r="F18" s="15" t="n">
        <v>832</v>
      </c>
      <c r="G18" s="15" t="n">
        <v>741</v>
      </c>
      <c r="H18" s="19" t="n">
        <f aca="false">IFERROR(G18/F18,0)</f>
        <v>0.890625</v>
      </c>
      <c r="I18" s="15" t="n">
        <v>140</v>
      </c>
      <c r="J18" s="20" t="n">
        <v>46271</v>
      </c>
    </row>
    <row r="19" customFormat="false" ht="15" hidden="false" customHeight="false" outlineLevel="0" collapsed="false">
      <c r="A19" s="10" t="n">
        <v>15</v>
      </c>
      <c r="B19" s="27"/>
      <c r="C19" s="12" t="s">
        <v>50</v>
      </c>
      <c r="D19" s="11" t="s">
        <v>41</v>
      </c>
      <c r="E19" s="28" t="s">
        <v>51</v>
      </c>
      <c r="F19" s="10" t="n">
        <v>4783</v>
      </c>
      <c r="G19" s="10" t="n">
        <v>1394</v>
      </c>
      <c r="H19" s="14" t="n">
        <f aca="false">IFERROR(G19/F19,0)</f>
        <v>0.291448881455154</v>
      </c>
      <c r="I19" s="10" t="n">
        <v>140</v>
      </c>
      <c r="J19" s="29" t="n">
        <v>46295</v>
      </c>
    </row>
    <row r="20" customFormat="false" ht="15" hidden="false" customHeight="false" outlineLevel="0" collapsed="false">
      <c r="A20" s="10" t="n">
        <v>16</v>
      </c>
      <c r="B20" s="27"/>
      <c r="C20" s="12" t="s">
        <v>19</v>
      </c>
      <c r="D20" s="11" t="s">
        <v>41</v>
      </c>
      <c r="E20" s="13" t="s">
        <v>52</v>
      </c>
      <c r="F20" s="10" t="n">
        <v>698</v>
      </c>
      <c r="G20" s="10" t="n">
        <v>724</v>
      </c>
      <c r="H20" s="14" t="n">
        <f aca="false">IFERROR(G20/F20,0)</f>
        <v>1.03724928366762</v>
      </c>
      <c r="I20" s="10"/>
      <c r="J20" s="10" t="s">
        <v>19</v>
      </c>
    </row>
    <row r="21" customFormat="false" ht="15" hidden="false" customHeight="false" outlineLevel="0" collapsed="false">
      <c r="A21" s="10" t="n">
        <v>17</v>
      </c>
      <c r="B21" s="27"/>
      <c r="C21" s="12" t="s">
        <v>19</v>
      </c>
      <c r="D21" s="11" t="s">
        <v>41</v>
      </c>
      <c r="E21" s="13" t="s">
        <v>53</v>
      </c>
      <c r="F21" s="10" t="n">
        <v>427</v>
      </c>
      <c r="G21" s="10" t="n">
        <v>497</v>
      </c>
      <c r="H21" s="14" t="n">
        <f aca="false">IFERROR(G21/F21,0)</f>
        <v>1.16393442622951</v>
      </c>
      <c r="I21" s="10"/>
      <c r="J21" s="10" t="s">
        <v>19</v>
      </c>
    </row>
    <row r="22" customFormat="false" ht="15" hidden="false" customHeight="false" outlineLevel="0" collapsed="false">
      <c r="A22" s="10" t="n">
        <v>18</v>
      </c>
      <c r="B22" s="27"/>
      <c r="C22" s="12" t="s">
        <v>19</v>
      </c>
      <c r="D22" s="11" t="s">
        <v>41</v>
      </c>
      <c r="E22" s="13" t="s">
        <v>54</v>
      </c>
      <c r="F22" s="10" t="n">
        <v>627</v>
      </c>
      <c r="G22" s="10" t="n">
        <v>660</v>
      </c>
      <c r="H22" s="14" t="n">
        <f aca="false">IFERROR(G22/F22,0)</f>
        <v>1.05263157894737</v>
      </c>
      <c r="I22" s="10"/>
      <c r="J22" s="10" t="s">
        <v>19</v>
      </c>
    </row>
    <row r="23" customFormat="false" ht="15" hidden="false" customHeight="true" outlineLevel="0" collapsed="false">
      <c r="A23" s="15" t="n">
        <v>19</v>
      </c>
      <c r="B23" s="27" t="s">
        <v>55</v>
      </c>
      <c r="C23" s="17" t="s">
        <v>23</v>
      </c>
      <c r="D23" s="16" t="s">
        <v>41</v>
      </c>
      <c r="E23" s="18" t="s">
        <v>56</v>
      </c>
      <c r="F23" s="15" t="n">
        <v>5202</v>
      </c>
      <c r="G23" s="15" t="n">
        <v>1311</v>
      </c>
      <c r="H23" s="19" t="n">
        <f aca="false">IFERROR(G23/F23,0)</f>
        <v>0.2520184544406</v>
      </c>
      <c r="I23" s="15" t="n">
        <v>156</v>
      </c>
      <c r="J23" s="20" t="n">
        <v>46295</v>
      </c>
    </row>
    <row r="24" customFormat="false" ht="15" hidden="false" customHeight="false" outlineLevel="0" collapsed="false">
      <c r="A24" s="10" t="n">
        <v>20</v>
      </c>
      <c r="B24" s="27"/>
      <c r="C24" s="12" t="s">
        <v>19</v>
      </c>
      <c r="D24" s="11" t="s">
        <v>41</v>
      </c>
      <c r="E24" s="13" t="s">
        <v>57</v>
      </c>
      <c r="F24" s="10" t="n">
        <v>1162</v>
      </c>
      <c r="G24" s="10" t="n">
        <v>1180</v>
      </c>
      <c r="H24" s="14" t="n">
        <f aca="false">IFERROR(G24/F24,0)</f>
        <v>1.01549053356282</v>
      </c>
      <c r="I24" s="10"/>
      <c r="J24" s="10" t="s">
        <v>19</v>
      </c>
    </row>
    <row r="25" customFormat="false" ht="15" hidden="false" customHeight="false" outlineLevel="0" collapsed="false">
      <c r="A25" s="10" t="n">
        <v>21</v>
      </c>
      <c r="B25" s="27"/>
      <c r="C25" s="12" t="s">
        <v>19</v>
      </c>
      <c r="D25" s="11" t="s">
        <v>41</v>
      </c>
      <c r="E25" s="13" t="s">
        <v>58</v>
      </c>
      <c r="F25" s="10" t="n">
        <v>142</v>
      </c>
      <c r="G25" s="10" t="n">
        <v>142</v>
      </c>
      <c r="H25" s="14" t="n">
        <f aca="false">IFERROR(G25/F25,0)</f>
        <v>1</v>
      </c>
      <c r="I25" s="10"/>
      <c r="J25" s="10" t="s">
        <v>19</v>
      </c>
    </row>
    <row r="26" customFormat="false" ht="15" hidden="false" customHeight="false" outlineLevel="0" collapsed="false">
      <c r="A26" s="10" t="n">
        <v>22</v>
      </c>
      <c r="B26" s="27"/>
      <c r="C26" s="12" t="s">
        <v>19</v>
      </c>
      <c r="D26" s="11" t="s">
        <v>41</v>
      </c>
      <c r="E26" s="13" t="s">
        <v>59</v>
      </c>
      <c r="F26" s="10" t="n">
        <v>1015</v>
      </c>
      <c r="G26" s="10" t="n">
        <v>1026</v>
      </c>
      <c r="H26" s="14" t="n">
        <f aca="false">IFERROR(G26/F26,0)</f>
        <v>1.01083743842365</v>
      </c>
      <c r="I26" s="10"/>
      <c r="J26" s="10" t="s">
        <v>19</v>
      </c>
    </row>
    <row r="27" customFormat="false" ht="15" hidden="false" customHeight="true" outlineLevel="0" collapsed="false">
      <c r="A27" s="15" t="n">
        <v>23</v>
      </c>
      <c r="B27" s="27" t="s">
        <v>60</v>
      </c>
      <c r="C27" s="17" t="s">
        <v>23</v>
      </c>
      <c r="D27" s="16" t="s">
        <v>41</v>
      </c>
      <c r="E27" s="18" t="s">
        <v>61</v>
      </c>
      <c r="F27" s="15" t="n">
        <v>691</v>
      </c>
      <c r="G27" s="15" t="n">
        <v>424</v>
      </c>
      <c r="H27" s="19" t="n">
        <f aca="false">IFERROR(G27/F27,0)</f>
        <v>0.613603473227207</v>
      </c>
      <c r="I27" s="15" t="n">
        <v>87</v>
      </c>
      <c r="J27" s="20" t="n">
        <v>46274</v>
      </c>
    </row>
    <row r="28" customFormat="false" ht="15" hidden="false" customHeight="false" outlineLevel="0" collapsed="false">
      <c r="A28" s="10" t="n">
        <v>24</v>
      </c>
      <c r="B28" s="27"/>
      <c r="C28" s="12" t="s">
        <v>50</v>
      </c>
      <c r="D28" s="11" t="s">
        <v>41</v>
      </c>
      <c r="E28" s="28" t="s">
        <v>62</v>
      </c>
      <c r="F28" s="10" t="n">
        <v>3473</v>
      </c>
      <c r="G28" s="10" t="n">
        <v>1575</v>
      </c>
      <c r="H28" s="14" t="n">
        <f aca="false">IFERROR(G28/F28,0)</f>
        <v>0.453498416354737</v>
      </c>
      <c r="I28" s="10" t="n">
        <v>87</v>
      </c>
      <c r="J28" s="29" t="n">
        <v>46295</v>
      </c>
    </row>
    <row r="29" customFormat="false" ht="15" hidden="false" customHeight="true" outlineLevel="0" collapsed="false">
      <c r="A29" s="15" t="n">
        <v>25</v>
      </c>
      <c r="B29" s="27" t="s">
        <v>63</v>
      </c>
      <c r="C29" s="17" t="s">
        <v>23</v>
      </c>
      <c r="D29" s="16" t="s">
        <v>41</v>
      </c>
      <c r="E29" s="18" t="s">
        <v>64</v>
      </c>
      <c r="F29" s="15" t="n">
        <v>643</v>
      </c>
      <c r="G29" s="15" t="n">
        <v>637</v>
      </c>
      <c r="H29" s="19" t="n">
        <f aca="false">IFERROR(G29/F29,0)</f>
        <v>0.990668740279938</v>
      </c>
      <c r="I29" s="15" t="n">
        <v>151</v>
      </c>
      <c r="J29" s="20" t="n">
        <v>46271</v>
      </c>
    </row>
    <row r="30" customFormat="false" ht="15" hidden="false" customHeight="false" outlineLevel="0" collapsed="false">
      <c r="A30" s="10" t="n">
        <v>26</v>
      </c>
      <c r="B30" s="27"/>
      <c r="C30" s="12" t="s">
        <v>50</v>
      </c>
      <c r="D30" s="11" t="s">
        <v>41</v>
      </c>
      <c r="E30" s="28" t="s">
        <v>65</v>
      </c>
      <c r="F30" s="10" t="n">
        <v>1189</v>
      </c>
      <c r="G30" s="10" t="n">
        <v>644</v>
      </c>
      <c r="H30" s="14" t="n">
        <f aca="false">IFERROR(G30/F30,0)</f>
        <v>0.541631623212784</v>
      </c>
      <c r="I30" s="10" t="n">
        <v>151</v>
      </c>
      <c r="J30" s="29" t="n">
        <v>46274</v>
      </c>
    </row>
    <row r="31" customFormat="false" ht="15" hidden="false" customHeight="false" outlineLevel="0" collapsed="false">
      <c r="A31" s="10" t="n">
        <v>27</v>
      </c>
      <c r="B31" s="27"/>
      <c r="C31" s="12" t="s">
        <v>66</v>
      </c>
      <c r="D31" s="11" t="s">
        <v>41</v>
      </c>
      <c r="E31" s="30" t="s">
        <v>67</v>
      </c>
      <c r="F31" s="10" t="n">
        <v>1366</v>
      </c>
      <c r="G31" s="10" t="n">
        <v>90</v>
      </c>
      <c r="H31" s="14" t="n">
        <f aca="false">IFERROR(G31/F31,0)</f>
        <v>0.0658857979502196</v>
      </c>
      <c r="I31" s="10" t="n">
        <v>151</v>
      </c>
      <c r="J31" s="29" t="n">
        <v>46283</v>
      </c>
    </row>
    <row r="32" customFormat="false" ht="15" hidden="false" customHeight="false" outlineLevel="0" collapsed="false">
      <c r="A32" s="10" t="n">
        <v>28</v>
      </c>
      <c r="B32" s="27"/>
      <c r="C32" s="12" t="s">
        <v>68</v>
      </c>
      <c r="D32" s="11" t="s">
        <v>41</v>
      </c>
      <c r="E32" s="31" t="s">
        <v>69</v>
      </c>
      <c r="F32" s="10" t="n">
        <v>1296</v>
      </c>
      <c r="G32" s="10" t="n">
        <v>78</v>
      </c>
      <c r="H32" s="14" t="n">
        <f aca="false">IFERROR(G32/F32,0)</f>
        <v>0.0601851851851852</v>
      </c>
      <c r="I32" s="10" t="n">
        <v>151</v>
      </c>
      <c r="J32" s="29" t="n">
        <v>46291</v>
      </c>
    </row>
    <row r="33" customFormat="false" ht="15" hidden="false" customHeight="false" outlineLevel="0" collapsed="false">
      <c r="A33" s="10" t="n">
        <v>29</v>
      </c>
      <c r="B33" s="27"/>
      <c r="C33" s="12" t="s">
        <v>70</v>
      </c>
      <c r="D33" s="11" t="s">
        <v>41</v>
      </c>
      <c r="E33" s="32" t="s">
        <v>71</v>
      </c>
      <c r="F33" s="10" t="n">
        <v>728</v>
      </c>
      <c r="G33" s="10" t="n">
        <v>1</v>
      </c>
      <c r="H33" s="14" t="n">
        <f aca="false">IFERROR(G33/F33,0)</f>
        <v>0.00137362637362637</v>
      </c>
      <c r="I33" s="10" t="n">
        <v>151</v>
      </c>
      <c r="J33" s="29" t="n">
        <v>46295</v>
      </c>
    </row>
    <row r="34" customFormat="false" ht="15" hidden="false" customHeight="false" outlineLevel="0" collapsed="false">
      <c r="A34" s="10" t="n">
        <v>30</v>
      </c>
      <c r="B34" s="27"/>
      <c r="C34" s="12" t="s">
        <v>19</v>
      </c>
      <c r="D34" s="11" t="s">
        <v>41</v>
      </c>
      <c r="E34" s="13" t="s">
        <v>72</v>
      </c>
      <c r="F34" s="10" t="n">
        <v>525</v>
      </c>
      <c r="G34" s="10" t="n">
        <v>554</v>
      </c>
      <c r="H34" s="14" t="n">
        <f aca="false">IFERROR(G34/F34,0)</f>
        <v>1.0552380952381</v>
      </c>
      <c r="I34" s="10"/>
      <c r="J34" s="10" t="s">
        <v>19</v>
      </c>
    </row>
    <row r="35" customFormat="false" ht="15" hidden="false" customHeight="false" outlineLevel="0" collapsed="false">
      <c r="A35" s="10" t="n">
        <v>31</v>
      </c>
      <c r="B35" s="27"/>
      <c r="C35" s="12" t="s">
        <v>19</v>
      </c>
      <c r="D35" s="11" t="s">
        <v>41</v>
      </c>
      <c r="E35" s="13" t="s">
        <v>73</v>
      </c>
      <c r="F35" s="10" t="n">
        <v>676</v>
      </c>
      <c r="G35" s="10" t="n">
        <v>715</v>
      </c>
      <c r="H35" s="14" t="n">
        <f aca="false">IFERROR(G35/F35,0)</f>
        <v>1.05769230769231</v>
      </c>
      <c r="I35" s="10"/>
      <c r="J35" s="10" t="s">
        <v>19</v>
      </c>
    </row>
    <row r="36" customFormat="false" ht="15" hidden="false" customHeight="false" outlineLevel="0" collapsed="false">
      <c r="A36" s="10" t="n">
        <v>32</v>
      </c>
      <c r="B36" s="27"/>
      <c r="C36" s="12" t="s">
        <v>19</v>
      </c>
      <c r="D36" s="11" t="s">
        <v>41</v>
      </c>
      <c r="E36" s="13" t="s">
        <v>74</v>
      </c>
      <c r="F36" s="10" t="n">
        <v>565</v>
      </c>
      <c r="G36" s="10" t="n">
        <v>582</v>
      </c>
      <c r="H36" s="14" t="n">
        <f aca="false">IFERROR(G36/F36,0)</f>
        <v>1.03008849557522</v>
      </c>
      <c r="I36" s="10"/>
      <c r="J36" s="10" t="s">
        <v>19</v>
      </c>
    </row>
    <row r="37" customFormat="false" ht="15" hidden="false" customHeight="false" outlineLevel="0" collapsed="false">
      <c r="A37" s="15" t="n">
        <v>33</v>
      </c>
      <c r="B37" s="16" t="s">
        <v>75</v>
      </c>
      <c r="C37" s="17" t="s">
        <v>23</v>
      </c>
      <c r="D37" s="16" t="s">
        <v>41</v>
      </c>
      <c r="E37" s="18" t="s">
        <v>76</v>
      </c>
      <c r="F37" s="15" t="n">
        <v>1628</v>
      </c>
      <c r="G37" s="15" t="n">
        <v>763</v>
      </c>
      <c r="H37" s="19" t="n">
        <f aca="false">IFERROR(G37/F37,0)</f>
        <v>0.468673218673219</v>
      </c>
      <c r="I37" s="15" t="n">
        <v>80</v>
      </c>
      <c r="J37" s="20" t="n">
        <v>46281</v>
      </c>
    </row>
    <row r="38" customFormat="false" ht="15" hidden="false" customHeight="true" outlineLevel="0" collapsed="false">
      <c r="A38" s="15" t="n">
        <v>34</v>
      </c>
      <c r="B38" s="27" t="s">
        <v>77</v>
      </c>
      <c r="C38" s="17" t="s">
        <v>23</v>
      </c>
      <c r="D38" s="16" t="s">
        <v>41</v>
      </c>
      <c r="E38" s="18" t="s">
        <v>78</v>
      </c>
      <c r="F38" s="15" t="n">
        <v>570</v>
      </c>
      <c r="G38" s="15" t="n">
        <v>481</v>
      </c>
      <c r="H38" s="19" t="n">
        <f aca="false">IFERROR(G38/F38,0)</f>
        <v>0.843859649122807</v>
      </c>
      <c r="I38" s="15" t="n">
        <v>120</v>
      </c>
      <c r="J38" s="20" t="n">
        <v>46271</v>
      </c>
    </row>
    <row r="39" customFormat="false" ht="15" hidden="false" customHeight="false" outlineLevel="0" collapsed="false">
      <c r="A39" s="10" t="n">
        <v>35</v>
      </c>
      <c r="B39" s="27"/>
      <c r="C39" s="12" t="s">
        <v>50</v>
      </c>
      <c r="D39" s="11" t="s">
        <v>41</v>
      </c>
      <c r="E39" s="28" t="s">
        <v>79</v>
      </c>
      <c r="F39" s="10" t="n">
        <v>1336</v>
      </c>
      <c r="G39" s="10" t="n">
        <v>352</v>
      </c>
      <c r="H39" s="14" t="n">
        <f aca="false">IFERROR(G39/F39,0)</f>
        <v>0.263473053892216</v>
      </c>
      <c r="I39" s="10" t="n">
        <v>120</v>
      </c>
      <c r="J39" s="29" t="n">
        <v>46279</v>
      </c>
    </row>
    <row r="40" customFormat="false" ht="15" hidden="false" customHeight="false" outlineLevel="0" collapsed="false">
      <c r="A40" s="10" t="n">
        <v>36</v>
      </c>
      <c r="B40" s="27"/>
      <c r="C40" s="12" t="s">
        <v>66</v>
      </c>
      <c r="D40" s="11" t="s">
        <v>41</v>
      </c>
      <c r="E40" s="30" t="s">
        <v>80</v>
      </c>
      <c r="F40" s="10" t="n">
        <v>1013</v>
      </c>
      <c r="G40" s="10" t="n">
        <v>115</v>
      </c>
      <c r="H40" s="14" t="n">
        <f aca="false">IFERROR(G40/F40,0)</f>
        <v>0.113524185587364</v>
      </c>
      <c r="I40" s="10" t="n">
        <v>120</v>
      </c>
      <c r="J40" s="29" t="n">
        <v>46287</v>
      </c>
    </row>
    <row r="41" customFormat="false" ht="15" hidden="false" customHeight="false" outlineLevel="0" collapsed="false">
      <c r="A41" s="10" t="n">
        <v>37</v>
      </c>
      <c r="B41" s="27"/>
      <c r="C41" s="12" t="s">
        <v>68</v>
      </c>
      <c r="D41" s="11" t="s">
        <v>41</v>
      </c>
      <c r="E41" s="31" t="s">
        <v>81</v>
      </c>
      <c r="F41" s="10" t="n">
        <v>1066</v>
      </c>
      <c r="G41" s="10" t="n">
        <v>59</v>
      </c>
      <c r="H41" s="14" t="n">
        <f aca="false">IFERROR(G41/F41,0)</f>
        <v>0.0553470919324578</v>
      </c>
      <c r="I41" s="10" t="n">
        <v>120</v>
      </c>
      <c r="J41" s="29" t="n">
        <v>46295</v>
      </c>
    </row>
    <row r="42" customFormat="false" ht="15" hidden="false" customHeight="false" outlineLevel="0" collapsed="false">
      <c r="A42" s="10" t="n">
        <v>38</v>
      </c>
      <c r="B42" s="27"/>
      <c r="C42" s="12" t="s">
        <v>19</v>
      </c>
      <c r="D42" s="11" t="s">
        <v>41</v>
      </c>
      <c r="E42" s="13" t="s">
        <v>82</v>
      </c>
      <c r="F42" s="10" t="n">
        <v>739</v>
      </c>
      <c r="G42" s="10" t="n">
        <v>769</v>
      </c>
      <c r="H42" s="14" t="n">
        <f aca="false">IFERROR(G42/F42,0)</f>
        <v>1.04059539918809</v>
      </c>
      <c r="I42" s="10"/>
      <c r="J42" s="10" t="s">
        <v>19</v>
      </c>
    </row>
    <row r="43" customFormat="false" ht="15" hidden="false" customHeight="false" outlineLevel="0" collapsed="false">
      <c r="A43" s="10" t="n">
        <v>39</v>
      </c>
      <c r="B43" s="27"/>
      <c r="C43" s="12" t="s">
        <v>19</v>
      </c>
      <c r="D43" s="11" t="s">
        <v>41</v>
      </c>
      <c r="E43" s="13" t="s">
        <v>83</v>
      </c>
      <c r="F43" s="10" t="n">
        <v>303</v>
      </c>
      <c r="G43" s="10" t="n">
        <v>319</v>
      </c>
      <c r="H43" s="14" t="n">
        <f aca="false">IFERROR(G43/F43,0)</f>
        <v>1.05280528052805</v>
      </c>
      <c r="I43" s="10"/>
      <c r="J43" s="10" t="s">
        <v>19</v>
      </c>
    </row>
    <row r="44" customFormat="false" ht="15" hidden="false" customHeight="true" outlineLevel="0" collapsed="false">
      <c r="A44" s="15" t="n">
        <v>40</v>
      </c>
      <c r="B44" s="27" t="s">
        <v>84</v>
      </c>
      <c r="C44" s="17" t="s">
        <v>23</v>
      </c>
      <c r="D44" s="16" t="s">
        <v>41</v>
      </c>
      <c r="E44" s="18" t="s">
        <v>85</v>
      </c>
      <c r="F44" s="15" t="n">
        <v>1450</v>
      </c>
      <c r="G44" s="15" t="n">
        <v>1419</v>
      </c>
      <c r="H44" s="19" t="n">
        <f aca="false">IFERROR(G44/F44,0)</f>
        <v>0.978620689655173</v>
      </c>
      <c r="I44" s="15" t="n">
        <v>130</v>
      </c>
      <c r="J44" s="20" t="n">
        <v>46271</v>
      </c>
    </row>
    <row r="45" customFormat="false" ht="15" hidden="false" customHeight="false" outlineLevel="0" collapsed="false">
      <c r="A45" s="10" t="n">
        <v>41</v>
      </c>
      <c r="B45" s="27"/>
      <c r="C45" s="12" t="s">
        <v>50</v>
      </c>
      <c r="D45" s="11" t="s">
        <v>41</v>
      </c>
      <c r="E45" s="28" t="s">
        <v>86</v>
      </c>
      <c r="F45" s="10" t="n">
        <v>1189</v>
      </c>
      <c r="G45" s="10" t="n">
        <v>508</v>
      </c>
      <c r="H45" s="14" t="n">
        <f aca="false">IFERROR(G45/F45,0)</f>
        <v>0.427249789739277</v>
      </c>
      <c r="I45" s="10" t="n">
        <v>130</v>
      </c>
      <c r="J45" s="29" t="n">
        <v>46276</v>
      </c>
    </row>
    <row r="46" customFormat="false" ht="15" hidden="false" customHeight="false" outlineLevel="0" collapsed="false">
      <c r="A46" s="10" t="n">
        <v>42</v>
      </c>
      <c r="B46" s="27"/>
      <c r="C46" s="12" t="s">
        <v>66</v>
      </c>
      <c r="D46" s="11" t="s">
        <v>41</v>
      </c>
      <c r="E46" s="30" t="s">
        <v>87</v>
      </c>
      <c r="F46" s="10" t="n">
        <v>2780</v>
      </c>
      <c r="G46" s="10" t="n">
        <v>262</v>
      </c>
      <c r="H46" s="14" t="n">
        <f aca="false">IFERROR(G46/F46,0)</f>
        <v>0.0942446043165468</v>
      </c>
      <c r="I46" s="10" t="n">
        <v>130</v>
      </c>
      <c r="J46" s="29" t="n">
        <v>46295</v>
      </c>
    </row>
    <row r="47" customFormat="false" ht="15" hidden="false" customHeight="true" outlineLevel="0" collapsed="false">
      <c r="A47" s="15" t="n">
        <v>43</v>
      </c>
      <c r="B47" s="27" t="s">
        <v>88</v>
      </c>
      <c r="C47" s="17" t="s">
        <v>23</v>
      </c>
      <c r="D47" s="16" t="s">
        <v>41</v>
      </c>
      <c r="E47" s="18" t="s">
        <v>89</v>
      </c>
      <c r="F47" s="15" t="n">
        <v>3909</v>
      </c>
      <c r="G47" s="15" t="n">
        <v>1383</v>
      </c>
      <c r="H47" s="19" t="n">
        <f aca="false">IFERROR(G47/F47,0)</f>
        <v>0.353798925556408</v>
      </c>
      <c r="I47" s="15" t="n">
        <v>102</v>
      </c>
      <c r="J47" s="20" t="n">
        <v>46295</v>
      </c>
    </row>
    <row r="48" customFormat="false" ht="15" hidden="false" customHeight="false" outlineLevel="0" collapsed="false">
      <c r="A48" s="10" t="n">
        <v>44</v>
      </c>
      <c r="B48" s="27"/>
      <c r="C48" s="12" t="s">
        <v>19</v>
      </c>
      <c r="D48" s="11" t="s">
        <v>41</v>
      </c>
      <c r="E48" s="13" t="s">
        <v>90</v>
      </c>
      <c r="F48" s="10" t="n">
        <v>201</v>
      </c>
      <c r="G48" s="10" t="n">
        <v>208</v>
      </c>
      <c r="H48" s="14" t="n">
        <f aca="false">IFERROR(G48/F48,0)</f>
        <v>1.03482587064677</v>
      </c>
      <c r="I48" s="10"/>
      <c r="J48" s="10" t="s">
        <v>19</v>
      </c>
    </row>
    <row r="49" customFormat="false" ht="15" hidden="false" customHeight="true" outlineLevel="0" collapsed="false">
      <c r="A49" s="15" t="n">
        <v>45</v>
      </c>
      <c r="B49" s="27" t="s">
        <v>91</v>
      </c>
      <c r="C49" s="17" t="s">
        <v>23</v>
      </c>
      <c r="D49" s="16" t="s">
        <v>41</v>
      </c>
      <c r="E49" s="18" t="s">
        <v>92</v>
      </c>
      <c r="F49" s="15" t="n">
        <v>1879</v>
      </c>
      <c r="G49" s="15" t="n">
        <v>1521</v>
      </c>
      <c r="H49" s="19" t="n">
        <f aca="false">IFERROR(G49/F49,0)</f>
        <v>0.809473124002129</v>
      </c>
      <c r="I49" s="15" t="n">
        <v>159</v>
      </c>
      <c r="J49" s="20" t="n">
        <v>46273</v>
      </c>
    </row>
    <row r="50" customFormat="false" ht="15" hidden="false" customHeight="false" outlineLevel="0" collapsed="false">
      <c r="A50" s="10" t="n">
        <v>46</v>
      </c>
      <c r="B50" s="27"/>
      <c r="C50" s="12" t="s">
        <v>50</v>
      </c>
      <c r="D50" s="11" t="s">
        <v>41</v>
      </c>
      <c r="E50" s="28" t="s">
        <v>93</v>
      </c>
      <c r="F50" s="10" t="n">
        <v>4570</v>
      </c>
      <c r="G50" s="10" t="n">
        <v>972</v>
      </c>
      <c r="H50" s="14" t="n">
        <f aca="false">IFERROR(G50/F50,0)</f>
        <v>0.212691466083151</v>
      </c>
      <c r="I50" s="10" t="n">
        <v>159</v>
      </c>
      <c r="J50" s="29" t="n">
        <v>46295</v>
      </c>
    </row>
    <row r="51" customFormat="false" ht="15" hidden="false" customHeight="true" outlineLevel="0" collapsed="false">
      <c r="A51" s="15" t="n">
        <v>47</v>
      </c>
      <c r="B51" s="27" t="s">
        <v>94</v>
      </c>
      <c r="C51" s="17" t="s">
        <v>23</v>
      </c>
      <c r="D51" s="16" t="s">
        <v>41</v>
      </c>
      <c r="E51" s="18" t="s">
        <v>95</v>
      </c>
      <c r="F51" s="15" t="n">
        <v>973</v>
      </c>
      <c r="G51" s="15" t="n">
        <v>805</v>
      </c>
      <c r="H51" s="19" t="n">
        <f aca="false">IFERROR(G51/F51,0)</f>
        <v>0.827338129496403</v>
      </c>
      <c r="I51" s="15" t="n">
        <v>173</v>
      </c>
      <c r="J51" s="20" t="n">
        <v>46271</v>
      </c>
    </row>
    <row r="52" customFormat="false" ht="15" hidden="false" customHeight="false" outlineLevel="0" collapsed="false">
      <c r="A52" s="10" t="n">
        <v>48</v>
      </c>
      <c r="B52" s="27"/>
      <c r="C52" s="12" t="s">
        <v>50</v>
      </c>
      <c r="D52" s="11" t="s">
        <v>41</v>
      </c>
      <c r="E52" s="28" t="s">
        <v>96</v>
      </c>
      <c r="F52" s="10" t="n">
        <v>1500</v>
      </c>
      <c r="G52" s="10" t="n">
        <v>917</v>
      </c>
      <c r="H52" s="14" t="n">
        <f aca="false">IFERROR(G52/F52,0)</f>
        <v>0.611333333333333</v>
      </c>
      <c r="I52" s="10" t="n">
        <v>173</v>
      </c>
      <c r="J52" s="29" t="n">
        <v>46275</v>
      </c>
    </row>
    <row r="53" customFormat="false" ht="15" hidden="false" customHeight="false" outlineLevel="0" collapsed="false">
      <c r="A53" s="10" t="n">
        <v>49</v>
      </c>
      <c r="B53" s="27"/>
      <c r="C53" s="12" t="s">
        <v>66</v>
      </c>
      <c r="D53" s="11" t="s">
        <v>41</v>
      </c>
      <c r="E53" s="30" t="s">
        <v>97</v>
      </c>
      <c r="F53" s="10" t="n">
        <v>4254</v>
      </c>
      <c r="G53" s="10" t="n">
        <v>686</v>
      </c>
      <c r="H53" s="14" t="n">
        <f aca="false">IFERROR(G53/F53,0)</f>
        <v>0.161259990597085</v>
      </c>
      <c r="I53" s="10" t="n">
        <v>173</v>
      </c>
      <c r="J53" s="29" t="n">
        <v>46295</v>
      </c>
    </row>
    <row r="54" customFormat="false" ht="15" hidden="false" customHeight="false" outlineLevel="0" collapsed="false">
      <c r="A54" s="10" t="n">
        <v>50</v>
      </c>
      <c r="B54" s="27"/>
      <c r="C54" s="12" t="s">
        <v>19</v>
      </c>
      <c r="D54" s="11" t="s">
        <v>41</v>
      </c>
      <c r="E54" s="13" t="s">
        <v>98</v>
      </c>
      <c r="F54" s="10" t="n">
        <v>257</v>
      </c>
      <c r="G54" s="10" t="n">
        <v>257</v>
      </c>
      <c r="H54" s="14" t="n">
        <f aca="false">IFERROR(G54/F54,0)</f>
        <v>1</v>
      </c>
      <c r="I54" s="10"/>
      <c r="J54" s="10" t="s">
        <v>19</v>
      </c>
    </row>
    <row r="55" customFormat="false" ht="15" hidden="false" customHeight="true" outlineLevel="0" collapsed="false">
      <c r="A55" s="15" t="n">
        <v>51</v>
      </c>
      <c r="B55" s="27" t="s">
        <v>99</v>
      </c>
      <c r="C55" s="17" t="s">
        <v>23</v>
      </c>
      <c r="D55" s="16" t="s">
        <v>41</v>
      </c>
      <c r="E55" s="18" t="s">
        <v>100</v>
      </c>
      <c r="F55" s="15" t="n">
        <v>2509</v>
      </c>
      <c r="G55" s="15" t="n">
        <v>1513</v>
      </c>
      <c r="H55" s="19" t="n">
        <f aca="false">IFERROR(G55/F55,0)</f>
        <v>0.603029095257075</v>
      </c>
      <c r="I55" s="15" t="n">
        <v>186</v>
      </c>
      <c r="J55" s="20" t="n">
        <v>46276</v>
      </c>
    </row>
    <row r="56" customFormat="false" ht="15" hidden="false" customHeight="false" outlineLevel="0" collapsed="false">
      <c r="A56" s="10" t="n">
        <v>52</v>
      </c>
      <c r="B56" s="27"/>
      <c r="C56" s="12" t="s">
        <v>50</v>
      </c>
      <c r="D56" s="11" t="s">
        <v>41</v>
      </c>
      <c r="E56" s="28" t="s">
        <v>101</v>
      </c>
      <c r="F56" s="10" t="n">
        <v>4884</v>
      </c>
      <c r="G56" s="10" t="n">
        <v>1243</v>
      </c>
      <c r="H56" s="14" t="n">
        <f aca="false">IFERROR(G56/F56,0)</f>
        <v>0.254504504504505</v>
      </c>
      <c r="I56" s="10" t="n">
        <v>186</v>
      </c>
      <c r="J56" s="29" t="n">
        <v>46295</v>
      </c>
    </row>
    <row r="57" customFormat="false" ht="15" hidden="false" customHeight="false" outlineLevel="0" collapsed="false">
      <c r="A57" s="21" t="n">
        <v>53</v>
      </c>
      <c r="B57" s="22" t="s">
        <v>102</v>
      </c>
      <c r="C57" s="23" t="s">
        <v>23</v>
      </c>
      <c r="D57" s="22" t="s">
        <v>103</v>
      </c>
      <c r="E57" s="24" t="s">
        <v>104</v>
      </c>
      <c r="F57" s="21" t="n">
        <v>2327</v>
      </c>
      <c r="G57" s="21" t="n">
        <v>1914</v>
      </c>
      <c r="H57" s="25" t="n">
        <f aca="false">IFERROR(G57/F57,0)</f>
        <v>0.822518263859046</v>
      </c>
      <c r="I57" s="21" t="n">
        <v>80</v>
      </c>
      <c r="J57" s="26" t="n">
        <v>46276</v>
      </c>
    </row>
    <row r="58" customFormat="false" ht="15" hidden="false" customHeight="true" outlineLevel="0" collapsed="false">
      <c r="A58" s="15" t="n">
        <v>54</v>
      </c>
      <c r="B58" s="27" t="s">
        <v>105</v>
      </c>
      <c r="C58" s="17" t="s">
        <v>23</v>
      </c>
      <c r="D58" s="16" t="s">
        <v>103</v>
      </c>
      <c r="E58" s="18" t="s">
        <v>106</v>
      </c>
      <c r="F58" s="15" t="n">
        <v>1072</v>
      </c>
      <c r="G58" s="15" t="n">
        <v>882</v>
      </c>
      <c r="H58" s="19" t="n">
        <f aca="false">IFERROR(G58/F58,0)</f>
        <v>0.822761194029851</v>
      </c>
      <c r="I58" s="15" t="n">
        <v>80</v>
      </c>
      <c r="J58" s="20" t="n">
        <v>46273</v>
      </c>
    </row>
    <row r="59" customFormat="false" ht="15" hidden="false" customHeight="false" outlineLevel="0" collapsed="false">
      <c r="A59" s="10" t="n">
        <v>55</v>
      </c>
      <c r="B59" s="27"/>
      <c r="C59" s="12" t="s">
        <v>50</v>
      </c>
      <c r="D59" s="11" t="s">
        <v>103</v>
      </c>
      <c r="E59" s="28" t="s">
        <v>107</v>
      </c>
      <c r="F59" s="10" t="n">
        <v>1275</v>
      </c>
      <c r="G59" s="10" t="n">
        <v>781</v>
      </c>
      <c r="H59" s="14" t="n">
        <f aca="false">IFERROR(G59/F59,0)</f>
        <v>0.612549019607843</v>
      </c>
      <c r="I59" s="10" t="n">
        <v>80</v>
      </c>
      <c r="J59" s="29" t="n">
        <v>46279</v>
      </c>
    </row>
    <row r="60" customFormat="false" ht="15" hidden="false" customHeight="false" outlineLevel="0" collapsed="false">
      <c r="A60" s="10" t="n">
        <v>56</v>
      </c>
      <c r="B60" s="27"/>
      <c r="C60" s="12" t="s">
        <v>19</v>
      </c>
      <c r="D60" s="11" t="s">
        <v>103</v>
      </c>
      <c r="E60" s="13" t="s">
        <v>108</v>
      </c>
      <c r="F60" s="10" t="n">
        <v>227</v>
      </c>
      <c r="G60" s="10" t="n">
        <v>227</v>
      </c>
      <c r="H60" s="14" t="n">
        <f aca="false">IFERROR(G60/F60,0)</f>
        <v>1</v>
      </c>
      <c r="I60" s="10"/>
      <c r="J60" s="10" t="s">
        <v>19</v>
      </c>
    </row>
    <row r="61" customFormat="false" ht="15" hidden="false" customHeight="true" outlineLevel="0" collapsed="false">
      <c r="A61" s="15" t="n">
        <v>57</v>
      </c>
      <c r="B61" s="27" t="s">
        <v>109</v>
      </c>
      <c r="C61" s="17" t="s">
        <v>23</v>
      </c>
      <c r="D61" s="16" t="s">
        <v>103</v>
      </c>
      <c r="E61" s="18" t="s">
        <v>110</v>
      </c>
      <c r="F61" s="15" t="n">
        <v>1943</v>
      </c>
      <c r="G61" s="15" t="n">
        <v>1122</v>
      </c>
      <c r="H61" s="19" t="n">
        <f aca="false">IFERROR(G61/F61,0)</f>
        <v>0.577457539886773</v>
      </c>
      <c r="I61" s="15" t="n">
        <v>80</v>
      </c>
      <c r="J61" s="20" t="n">
        <v>46281</v>
      </c>
    </row>
    <row r="62" customFormat="false" ht="15" hidden="false" customHeight="false" outlineLevel="0" collapsed="false">
      <c r="A62" s="10" t="n">
        <v>58</v>
      </c>
      <c r="B62" s="27"/>
      <c r="C62" s="12" t="s">
        <v>19</v>
      </c>
      <c r="D62" s="11" t="s">
        <v>103</v>
      </c>
      <c r="E62" s="13" t="s">
        <v>111</v>
      </c>
      <c r="F62" s="10" t="n">
        <v>714</v>
      </c>
      <c r="G62" s="10" t="n">
        <v>718</v>
      </c>
      <c r="H62" s="14" t="n">
        <f aca="false">IFERROR(G62/F62,0)</f>
        <v>1.00560224089636</v>
      </c>
      <c r="I62" s="10"/>
      <c r="J62" s="10" t="s">
        <v>19</v>
      </c>
    </row>
    <row r="63" customFormat="false" ht="15" hidden="false" customHeight="true" outlineLevel="0" collapsed="false">
      <c r="A63" s="15" t="n">
        <v>59</v>
      </c>
      <c r="B63" s="27" t="s">
        <v>112</v>
      </c>
      <c r="C63" s="17" t="s">
        <v>23</v>
      </c>
      <c r="D63" s="16" t="s">
        <v>103</v>
      </c>
      <c r="E63" s="18" t="s">
        <v>113</v>
      </c>
      <c r="F63" s="15" t="n">
        <v>1528</v>
      </c>
      <c r="G63" s="15" t="n">
        <v>1019</v>
      </c>
      <c r="H63" s="19" t="n">
        <f aca="false">IFERROR(G63/F63,0)</f>
        <v>0.666884816753927</v>
      </c>
      <c r="I63" s="15" t="n">
        <v>80</v>
      </c>
      <c r="J63" s="20" t="n">
        <v>46277</v>
      </c>
    </row>
    <row r="64" customFormat="false" ht="15" hidden="false" customHeight="false" outlineLevel="0" collapsed="false">
      <c r="A64" s="10" t="n">
        <v>60</v>
      </c>
      <c r="B64" s="27"/>
      <c r="C64" s="12" t="s">
        <v>50</v>
      </c>
      <c r="D64" s="11" t="s">
        <v>103</v>
      </c>
      <c r="E64" s="28" t="s">
        <v>114</v>
      </c>
      <c r="F64" s="10" t="n">
        <v>1172</v>
      </c>
      <c r="G64" s="10" t="n">
        <v>524</v>
      </c>
      <c r="H64" s="14" t="n">
        <f aca="false">IFERROR(G64/F64,0)</f>
        <v>0.447098976109215</v>
      </c>
      <c r="I64" s="10" t="n">
        <v>80</v>
      </c>
      <c r="J64" s="29" t="n">
        <v>46285</v>
      </c>
    </row>
    <row r="65" customFormat="false" ht="15" hidden="false" customHeight="false" outlineLevel="0" collapsed="false">
      <c r="A65" s="10" t="n">
        <v>61</v>
      </c>
      <c r="B65" s="27"/>
      <c r="C65" s="12" t="s">
        <v>19</v>
      </c>
      <c r="D65" s="11" t="s">
        <v>103</v>
      </c>
      <c r="E65" s="13" t="s">
        <v>115</v>
      </c>
      <c r="F65" s="10" t="n">
        <v>550</v>
      </c>
      <c r="G65" s="10" t="n">
        <v>565</v>
      </c>
      <c r="H65" s="14" t="n">
        <f aca="false">IFERROR(G65/F65,0)</f>
        <v>1.02727272727273</v>
      </c>
      <c r="I65" s="10"/>
      <c r="J65" s="10" t="s">
        <v>19</v>
      </c>
    </row>
    <row r="66" customFormat="false" ht="15" hidden="false" customHeight="true" outlineLevel="0" collapsed="false">
      <c r="A66" s="21" t="n">
        <v>62</v>
      </c>
      <c r="B66" s="33" t="s">
        <v>116</v>
      </c>
      <c r="C66" s="23" t="s">
        <v>23</v>
      </c>
      <c r="D66" s="22" t="s">
        <v>117</v>
      </c>
      <c r="E66" s="24" t="s">
        <v>118</v>
      </c>
      <c r="F66" s="21" t="n">
        <v>899</v>
      </c>
      <c r="G66" s="21" t="n">
        <v>845</v>
      </c>
      <c r="H66" s="25" t="n">
        <f aca="false">IFERROR(G66/F66,0)</f>
        <v>0.939933259176863</v>
      </c>
      <c r="I66" s="21" t="n">
        <v>80</v>
      </c>
      <c r="J66" s="26" t="n">
        <v>46271</v>
      </c>
    </row>
    <row r="67" customFormat="false" ht="15" hidden="false" customHeight="false" outlineLevel="0" collapsed="false">
      <c r="A67" s="10" t="n">
        <v>63</v>
      </c>
      <c r="B67" s="33"/>
      <c r="C67" s="12" t="s">
        <v>19</v>
      </c>
      <c r="D67" s="11" t="s">
        <v>117</v>
      </c>
      <c r="E67" s="13" t="s">
        <v>119</v>
      </c>
      <c r="F67" s="10" t="n">
        <v>745</v>
      </c>
      <c r="G67" s="10" t="n">
        <v>745</v>
      </c>
      <c r="H67" s="14" t="n">
        <f aca="false">IFERROR(G67/F67,0)</f>
        <v>1</v>
      </c>
      <c r="I67" s="10"/>
      <c r="J67" s="10" t="s">
        <v>19</v>
      </c>
    </row>
    <row r="68" customFormat="false" ht="15" hidden="false" customHeight="false" outlineLevel="0" collapsed="false">
      <c r="A68" s="10" t="n">
        <v>64</v>
      </c>
      <c r="B68" s="33"/>
      <c r="C68" s="12" t="s">
        <v>19</v>
      </c>
      <c r="D68" s="11" t="s">
        <v>117</v>
      </c>
      <c r="E68" s="13" t="s">
        <v>120</v>
      </c>
      <c r="F68" s="10" t="n">
        <v>988</v>
      </c>
      <c r="G68" s="10" t="n">
        <v>988</v>
      </c>
      <c r="H68" s="14" t="n">
        <f aca="false">IFERROR(G68/F68,0)</f>
        <v>1</v>
      </c>
      <c r="I68" s="10"/>
      <c r="J68" s="10" t="s">
        <v>19</v>
      </c>
    </row>
    <row r="69" customFormat="false" ht="15" hidden="false" customHeight="true" outlineLevel="0" collapsed="false">
      <c r="A69" s="15" t="n">
        <v>65</v>
      </c>
      <c r="B69" s="27" t="s">
        <v>121</v>
      </c>
      <c r="C69" s="17" t="s">
        <v>23</v>
      </c>
      <c r="D69" s="16" t="s">
        <v>117</v>
      </c>
      <c r="E69" s="18" t="s">
        <v>122</v>
      </c>
      <c r="F69" s="15" t="n">
        <v>1191</v>
      </c>
      <c r="G69" s="15" t="n">
        <v>978</v>
      </c>
      <c r="H69" s="19" t="n">
        <f aca="false">IFERROR(G69/F69,0)</f>
        <v>0.821158690176322</v>
      </c>
      <c r="I69" s="15" t="n">
        <v>80</v>
      </c>
      <c r="J69" s="20" t="n">
        <v>46273</v>
      </c>
    </row>
    <row r="70" customFormat="false" ht="15" hidden="false" customHeight="false" outlineLevel="0" collapsed="false">
      <c r="A70" s="10" t="n">
        <v>66</v>
      </c>
      <c r="B70" s="27"/>
      <c r="C70" s="12" t="s">
        <v>50</v>
      </c>
      <c r="D70" s="11" t="s">
        <v>117</v>
      </c>
      <c r="E70" s="28" t="s">
        <v>123</v>
      </c>
      <c r="F70" s="10" t="n">
        <v>1652</v>
      </c>
      <c r="G70" s="10" t="n">
        <v>963</v>
      </c>
      <c r="H70" s="14" t="n">
        <f aca="false">IFERROR(G70/F70,0)</f>
        <v>0.582929782082325</v>
      </c>
      <c r="I70" s="10" t="n">
        <v>80</v>
      </c>
      <c r="J70" s="29" t="n">
        <v>46282</v>
      </c>
    </row>
    <row r="71" customFormat="false" ht="15" hidden="false" customHeight="true" outlineLevel="0" collapsed="false">
      <c r="A71" s="15" t="n">
        <v>67</v>
      </c>
      <c r="B71" s="27" t="s">
        <v>124</v>
      </c>
      <c r="C71" s="17" t="s">
        <v>23</v>
      </c>
      <c r="D71" s="16" t="s">
        <v>117</v>
      </c>
      <c r="E71" s="18" t="s">
        <v>125</v>
      </c>
      <c r="F71" s="15" t="n">
        <v>2909</v>
      </c>
      <c r="G71" s="15" t="n">
        <v>2004</v>
      </c>
      <c r="H71" s="19" t="n">
        <f aca="false">IFERROR(G71/F71,0)</f>
        <v>0.688896528016501</v>
      </c>
      <c r="I71" s="15" t="n">
        <v>101</v>
      </c>
      <c r="J71" s="20" t="n">
        <v>46279</v>
      </c>
    </row>
    <row r="72" customFormat="false" ht="15" hidden="false" customHeight="false" outlineLevel="0" collapsed="false">
      <c r="A72" s="10" t="n">
        <v>68</v>
      </c>
      <c r="B72" s="27"/>
      <c r="C72" s="12" t="s">
        <v>50</v>
      </c>
      <c r="D72" s="11" t="s">
        <v>117</v>
      </c>
      <c r="E72" s="28" t="s">
        <v>126</v>
      </c>
      <c r="F72" s="10" t="n">
        <v>3363</v>
      </c>
      <c r="G72" s="10" t="n">
        <v>1750</v>
      </c>
      <c r="H72" s="14" t="n">
        <f aca="false">IFERROR(G72/F72,0)</f>
        <v>0.520368718406185</v>
      </c>
      <c r="I72" s="10" t="n">
        <v>101</v>
      </c>
      <c r="J72" s="29" t="n">
        <v>46295</v>
      </c>
    </row>
    <row r="73" customFormat="false" ht="15" hidden="false" customHeight="true" outlineLevel="0" collapsed="false">
      <c r="A73" s="15" t="n">
        <v>69</v>
      </c>
      <c r="B73" s="27" t="s">
        <v>127</v>
      </c>
      <c r="C73" s="17" t="s">
        <v>23</v>
      </c>
      <c r="D73" s="16" t="s">
        <v>117</v>
      </c>
      <c r="E73" s="18" t="s">
        <v>128</v>
      </c>
      <c r="F73" s="15" t="n">
        <v>1429</v>
      </c>
      <c r="G73" s="15" t="n">
        <v>858</v>
      </c>
      <c r="H73" s="19" t="n">
        <f aca="false">IFERROR(G73/F73,0)</f>
        <v>0.600419874037789</v>
      </c>
      <c r="I73" s="15" t="n">
        <v>80</v>
      </c>
      <c r="J73" s="20" t="n">
        <v>46278</v>
      </c>
    </row>
    <row r="74" customFormat="false" ht="15" hidden="false" customHeight="false" outlineLevel="0" collapsed="false">
      <c r="A74" s="10" t="n">
        <v>70</v>
      </c>
      <c r="B74" s="27"/>
      <c r="C74" s="12" t="s">
        <v>50</v>
      </c>
      <c r="D74" s="11" t="s">
        <v>117</v>
      </c>
      <c r="E74" s="28" t="s">
        <v>129</v>
      </c>
      <c r="F74" s="10" t="n">
        <v>2665</v>
      </c>
      <c r="G74" s="10" t="n">
        <v>1263</v>
      </c>
      <c r="H74" s="14" t="n">
        <f aca="false">IFERROR(G74/F74,0)</f>
        <v>0.473921200750469</v>
      </c>
      <c r="I74" s="10" t="n">
        <v>80</v>
      </c>
      <c r="J74" s="29" t="n">
        <v>46295</v>
      </c>
    </row>
    <row r="75" customFormat="false" ht="15" hidden="false" customHeight="false" outlineLevel="0" collapsed="false">
      <c r="A75" s="10" t="n">
        <v>71</v>
      </c>
      <c r="B75" s="27"/>
      <c r="C75" s="12" t="s">
        <v>19</v>
      </c>
      <c r="D75" s="11" t="s">
        <v>117</v>
      </c>
      <c r="E75" s="13" t="s">
        <v>130</v>
      </c>
      <c r="F75" s="10" t="n">
        <v>32</v>
      </c>
      <c r="G75" s="10" t="n">
        <v>32</v>
      </c>
      <c r="H75" s="14" t="n">
        <f aca="false">IFERROR(G75/F75,0)</f>
        <v>1</v>
      </c>
      <c r="I75" s="10"/>
      <c r="J75" s="10" t="s">
        <v>19</v>
      </c>
    </row>
    <row r="76" customFormat="false" ht="15" hidden="false" customHeight="false" outlineLevel="0" collapsed="false">
      <c r="A76" s="10" t="n">
        <v>72</v>
      </c>
      <c r="B76" s="27"/>
      <c r="C76" s="12" t="s">
        <v>19</v>
      </c>
      <c r="D76" s="11" t="s">
        <v>117</v>
      </c>
      <c r="E76" s="13" t="s">
        <v>131</v>
      </c>
      <c r="F76" s="10" t="n">
        <v>618</v>
      </c>
      <c r="G76" s="10" t="n">
        <v>626</v>
      </c>
      <c r="H76" s="14" t="n">
        <f aca="false">IFERROR(G76/F76,0)</f>
        <v>1.01294498381877</v>
      </c>
      <c r="I76" s="10"/>
      <c r="J76" s="10" t="s">
        <v>19</v>
      </c>
    </row>
    <row r="77" customFormat="false" ht="15" hidden="false" customHeight="true" outlineLevel="0" collapsed="false">
      <c r="A77" s="15" t="n">
        <v>73</v>
      </c>
      <c r="B77" s="27" t="s">
        <v>132</v>
      </c>
      <c r="C77" s="17" t="s">
        <v>23</v>
      </c>
      <c r="D77" s="16" t="s">
        <v>117</v>
      </c>
      <c r="E77" s="18" t="s">
        <v>133</v>
      </c>
      <c r="F77" s="15" t="n">
        <v>1485</v>
      </c>
      <c r="G77" s="15" t="n">
        <v>789</v>
      </c>
      <c r="H77" s="19" t="n">
        <f aca="false">IFERROR(G77/F77,0)</f>
        <v>0.531313131313131</v>
      </c>
      <c r="I77" s="15" t="n">
        <v>80</v>
      </c>
      <c r="J77" s="20" t="n">
        <v>46279</v>
      </c>
    </row>
    <row r="78" customFormat="false" ht="15" hidden="false" customHeight="false" outlineLevel="0" collapsed="false">
      <c r="A78" s="10" t="n">
        <v>74</v>
      </c>
      <c r="B78" s="27"/>
      <c r="C78" s="12" t="s">
        <v>50</v>
      </c>
      <c r="D78" s="11" t="s">
        <v>117</v>
      </c>
      <c r="E78" s="28" t="s">
        <v>134</v>
      </c>
      <c r="F78" s="10" t="n">
        <v>2448</v>
      </c>
      <c r="G78" s="10" t="n">
        <v>1205</v>
      </c>
      <c r="H78" s="14" t="n">
        <f aca="false">IFERROR(G78/F78,0)</f>
        <v>0.492238562091503</v>
      </c>
      <c r="I78" s="10" t="n">
        <v>80</v>
      </c>
      <c r="J78" s="29" t="n">
        <v>46295</v>
      </c>
    </row>
    <row r="79" customFormat="false" ht="15" hidden="false" customHeight="false" outlineLevel="0" collapsed="false">
      <c r="A79" s="10" t="n">
        <v>75</v>
      </c>
      <c r="B79" s="27"/>
      <c r="C79" s="12" t="s">
        <v>19</v>
      </c>
      <c r="D79" s="11" t="s">
        <v>117</v>
      </c>
      <c r="E79" s="13" t="s">
        <v>135</v>
      </c>
      <c r="F79" s="10" t="n">
        <v>258</v>
      </c>
      <c r="G79" s="10" t="n">
        <v>265</v>
      </c>
      <c r="H79" s="14" t="n">
        <f aca="false">IFERROR(G79/F79,0)</f>
        <v>1.02713178294574</v>
      </c>
      <c r="I79" s="10"/>
      <c r="J79" s="10" t="s">
        <v>19</v>
      </c>
    </row>
    <row r="80" customFormat="false" ht="15" hidden="false" customHeight="false" outlineLevel="0" collapsed="false">
      <c r="A80" s="10" t="n">
        <v>76</v>
      </c>
      <c r="B80" s="27"/>
      <c r="C80" s="12" t="s">
        <v>19</v>
      </c>
      <c r="D80" s="11" t="s">
        <v>117</v>
      </c>
      <c r="E80" s="13" t="s">
        <v>136</v>
      </c>
      <c r="F80" s="10" t="n">
        <v>325</v>
      </c>
      <c r="G80" s="10" t="n">
        <v>330</v>
      </c>
      <c r="H80" s="14" t="n">
        <f aca="false">IFERROR(G80/F80,0)</f>
        <v>1.01538461538462</v>
      </c>
      <c r="I80" s="10"/>
      <c r="J80" s="10" t="s">
        <v>19</v>
      </c>
    </row>
    <row r="81" customFormat="false" ht="15" hidden="false" customHeight="true" outlineLevel="0" collapsed="false">
      <c r="A81" s="15" t="n">
        <v>77</v>
      </c>
      <c r="B81" s="27" t="s">
        <v>137</v>
      </c>
      <c r="C81" s="17" t="s">
        <v>23</v>
      </c>
      <c r="D81" s="16" t="s">
        <v>117</v>
      </c>
      <c r="E81" s="18" t="s">
        <v>138</v>
      </c>
      <c r="F81" s="15" t="n">
        <v>1514</v>
      </c>
      <c r="G81" s="15" t="n">
        <v>1130</v>
      </c>
      <c r="H81" s="19" t="n">
        <f aca="false">IFERROR(G81/F81,0)</f>
        <v>0.746367239101717</v>
      </c>
      <c r="I81" s="15" t="n">
        <v>103</v>
      </c>
      <c r="J81" s="20" t="n">
        <v>46274</v>
      </c>
    </row>
    <row r="82" customFormat="false" ht="15" hidden="false" customHeight="false" outlineLevel="0" collapsed="false">
      <c r="A82" s="10" t="n">
        <v>78</v>
      </c>
      <c r="B82" s="27"/>
      <c r="C82" s="12" t="s">
        <v>50</v>
      </c>
      <c r="D82" s="11" t="s">
        <v>117</v>
      </c>
      <c r="E82" s="28" t="s">
        <v>139</v>
      </c>
      <c r="F82" s="10" t="n">
        <v>2940</v>
      </c>
      <c r="G82" s="10" t="n">
        <v>768</v>
      </c>
      <c r="H82" s="14" t="n">
        <f aca="false">IFERROR(G82/F82,0)</f>
        <v>0.261224489795918</v>
      </c>
      <c r="I82" s="10" t="n">
        <v>103</v>
      </c>
      <c r="J82" s="29" t="n">
        <v>46295</v>
      </c>
    </row>
    <row r="83" customFormat="false" ht="15" hidden="false" customHeight="false" outlineLevel="0" collapsed="false">
      <c r="A83" s="10" t="n">
        <v>79</v>
      </c>
      <c r="B83" s="27"/>
      <c r="C83" s="12" t="s">
        <v>19</v>
      </c>
      <c r="D83" s="11" t="s">
        <v>117</v>
      </c>
      <c r="E83" s="13" t="s">
        <v>107</v>
      </c>
      <c r="F83" s="10" t="n">
        <v>829</v>
      </c>
      <c r="G83" s="10" t="n">
        <v>846</v>
      </c>
      <c r="H83" s="14" t="n">
        <f aca="false">IFERROR(G83/F83,0)</f>
        <v>1.0205066344994</v>
      </c>
      <c r="I83" s="10"/>
      <c r="J83" s="10" t="s">
        <v>19</v>
      </c>
    </row>
    <row r="84" customFormat="false" ht="15" hidden="false" customHeight="false" outlineLevel="0" collapsed="false">
      <c r="A84" s="10" t="n">
        <v>80</v>
      </c>
      <c r="B84" s="27"/>
      <c r="C84" s="12" t="s">
        <v>19</v>
      </c>
      <c r="D84" s="11" t="s">
        <v>117</v>
      </c>
      <c r="E84" s="13" t="s">
        <v>140</v>
      </c>
      <c r="F84" s="10" t="n">
        <v>6</v>
      </c>
      <c r="G84" s="10" t="n">
        <v>6</v>
      </c>
      <c r="H84" s="14" t="n">
        <f aca="false">IFERROR(G84/F84,0)</f>
        <v>1</v>
      </c>
      <c r="I84" s="10"/>
      <c r="J84" s="10" t="s">
        <v>19</v>
      </c>
    </row>
    <row r="85" customFormat="false" ht="15" hidden="false" customHeight="true" outlineLevel="0" collapsed="false">
      <c r="A85" s="15" t="n">
        <v>81</v>
      </c>
      <c r="B85" s="27" t="s">
        <v>141</v>
      </c>
      <c r="C85" s="17" t="s">
        <v>23</v>
      </c>
      <c r="D85" s="16" t="s">
        <v>117</v>
      </c>
      <c r="E85" s="18" t="s">
        <v>142</v>
      </c>
      <c r="F85" s="15" t="n">
        <v>830</v>
      </c>
      <c r="G85" s="15" t="n">
        <v>715</v>
      </c>
      <c r="H85" s="19" t="n">
        <f aca="false">IFERROR(G85/F85,0)</f>
        <v>0.86144578313253</v>
      </c>
      <c r="I85" s="15" t="n">
        <v>112</v>
      </c>
      <c r="J85" s="20" t="n">
        <v>46272</v>
      </c>
    </row>
    <row r="86" customFormat="false" ht="15" hidden="false" customHeight="false" outlineLevel="0" collapsed="false">
      <c r="A86" s="10" t="n">
        <v>82</v>
      </c>
      <c r="B86" s="27"/>
      <c r="C86" s="12" t="s">
        <v>50</v>
      </c>
      <c r="D86" s="11" t="s">
        <v>117</v>
      </c>
      <c r="E86" s="28" t="s">
        <v>143</v>
      </c>
      <c r="F86" s="10" t="n">
        <v>4700</v>
      </c>
      <c r="G86" s="10" t="n">
        <v>2027</v>
      </c>
      <c r="H86" s="14" t="n">
        <f aca="false">IFERROR(G86/F86,0)</f>
        <v>0.431276595744681</v>
      </c>
      <c r="I86" s="10" t="n">
        <v>112</v>
      </c>
      <c r="J86" s="29" t="n">
        <v>46295</v>
      </c>
    </row>
    <row r="87" customFormat="false" ht="15" hidden="false" customHeight="false" outlineLevel="0" collapsed="false">
      <c r="A87" s="10" t="n">
        <v>83</v>
      </c>
      <c r="B87" s="27"/>
      <c r="C87" s="12" t="s">
        <v>19</v>
      </c>
      <c r="D87" s="11" t="s">
        <v>117</v>
      </c>
      <c r="E87" s="13" t="s">
        <v>144</v>
      </c>
      <c r="F87" s="10" t="n">
        <v>19</v>
      </c>
      <c r="G87" s="10" t="n">
        <v>19</v>
      </c>
      <c r="H87" s="14" t="n">
        <f aca="false">IFERROR(G87/F87,0)</f>
        <v>1</v>
      </c>
      <c r="I87" s="10"/>
      <c r="J87" s="10" t="s">
        <v>19</v>
      </c>
    </row>
    <row r="88" customFormat="false" ht="15" hidden="false" customHeight="false" outlineLevel="0" collapsed="false">
      <c r="A88" s="10" t="n">
        <v>84</v>
      </c>
      <c r="B88" s="27"/>
      <c r="C88" s="12" t="s">
        <v>19</v>
      </c>
      <c r="D88" s="11" t="s">
        <v>117</v>
      </c>
      <c r="E88" s="13" t="s">
        <v>145</v>
      </c>
      <c r="F88" s="10" t="n">
        <v>139</v>
      </c>
      <c r="G88" s="10" t="n">
        <v>140</v>
      </c>
      <c r="H88" s="14" t="n">
        <f aca="false">IFERROR(G88/F88,0)</f>
        <v>1.00719424460432</v>
      </c>
      <c r="I88" s="10"/>
      <c r="J88" s="10" t="s">
        <v>19</v>
      </c>
    </row>
    <row r="89" customFormat="false" ht="15" hidden="false" customHeight="false" outlineLevel="0" collapsed="false">
      <c r="A89" s="15" t="n">
        <v>85</v>
      </c>
      <c r="B89" s="16" t="s">
        <v>146</v>
      </c>
      <c r="C89" s="17" t="s">
        <v>23</v>
      </c>
      <c r="D89" s="16" t="s">
        <v>117</v>
      </c>
      <c r="E89" s="18" t="s">
        <v>147</v>
      </c>
      <c r="F89" s="15" t="n">
        <v>7372</v>
      </c>
      <c r="G89" s="15" t="n">
        <v>2492</v>
      </c>
      <c r="H89" s="19" t="n">
        <f aca="false">IFERROR(G89/F89,0)</f>
        <v>0.338035811177428</v>
      </c>
      <c r="I89" s="15" t="n">
        <v>196</v>
      </c>
      <c r="J89" s="20" t="n">
        <v>46295</v>
      </c>
    </row>
    <row r="90" customFormat="false" ht="15" hidden="false" customHeight="true" outlineLevel="0" collapsed="false">
      <c r="A90" s="34" t="n">
        <v>86</v>
      </c>
      <c r="B90" s="33" t="s">
        <v>148</v>
      </c>
      <c r="C90" s="35" t="s">
        <v>19</v>
      </c>
      <c r="D90" s="36" t="s">
        <v>149</v>
      </c>
      <c r="E90" s="37" t="s">
        <v>150</v>
      </c>
      <c r="F90" s="34" t="n">
        <v>980</v>
      </c>
      <c r="G90" s="34" t="n">
        <v>1001</v>
      </c>
      <c r="H90" s="38" t="n">
        <f aca="false">IFERROR(G90/F90,0)</f>
        <v>1.02142857142857</v>
      </c>
      <c r="I90" s="34"/>
      <c r="J90" s="34" t="s">
        <v>19</v>
      </c>
    </row>
    <row r="91" customFormat="false" ht="15" hidden="false" customHeight="false" outlineLevel="0" collapsed="false">
      <c r="A91" s="10" t="n">
        <v>87</v>
      </c>
      <c r="B91" s="33"/>
      <c r="C91" s="12" t="s">
        <v>19</v>
      </c>
      <c r="D91" s="11" t="s">
        <v>149</v>
      </c>
      <c r="E91" s="13" t="s">
        <v>151</v>
      </c>
      <c r="F91" s="10" t="n">
        <v>899</v>
      </c>
      <c r="G91" s="10" t="n">
        <v>923</v>
      </c>
      <c r="H91" s="14" t="n">
        <f aca="false">IFERROR(G91/F91,0)</f>
        <v>1.02669632925473</v>
      </c>
      <c r="I91" s="10"/>
      <c r="J91" s="10" t="s">
        <v>19</v>
      </c>
    </row>
    <row r="92" customFormat="false" ht="15" hidden="false" customHeight="false" outlineLevel="0" collapsed="false">
      <c r="A92" s="10" t="n">
        <v>88</v>
      </c>
      <c r="B92" s="11" t="s">
        <v>152</v>
      </c>
      <c r="C92" s="12" t="s">
        <v>19</v>
      </c>
      <c r="D92" s="11" t="s">
        <v>149</v>
      </c>
      <c r="E92" s="13" t="s">
        <v>153</v>
      </c>
      <c r="F92" s="10" t="n">
        <v>1515</v>
      </c>
      <c r="G92" s="10" t="n">
        <v>1531</v>
      </c>
      <c r="H92" s="14" t="n">
        <f aca="false">IFERROR(G92/F92,0)</f>
        <v>1.01056105610561</v>
      </c>
      <c r="I92" s="10"/>
      <c r="J92" s="10" t="s">
        <v>19</v>
      </c>
    </row>
    <row r="93" customFormat="false" ht="15" hidden="false" customHeight="true" outlineLevel="0" collapsed="false">
      <c r="A93" s="10" t="n">
        <v>89</v>
      </c>
      <c r="B93" s="27" t="s">
        <v>154</v>
      </c>
      <c r="C93" s="12" t="s">
        <v>19</v>
      </c>
      <c r="D93" s="11" t="s">
        <v>149</v>
      </c>
      <c r="E93" s="13" t="s">
        <v>155</v>
      </c>
      <c r="F93" s="10" t="n">
        <v>371</v>
      </c>
      <c r="G93" s="10" t="n">
        <v>371</v>
      </c>
      <c r="H93" s="14" t="n">
        <f aca="false">IFERROR(G93/F93,0)</f>
        <v>1</v>
      </c>
      <c r="I93" s="10"/>
      <c r="J93" s="10" t="s">
        <v>19</v>
      </c>
    </row>
    <row r="94" customFormat="false" ht="15" hidden="false" customHeight="false" outlineLevel="0" collapsed="false">
      <c r="A94" s="10" t="n">
        <v>90</v>
      </c>
      <c r="B94" s="27"/>
      <c r="C94" s="12" t="s">
        <v>19</v>
      </c>
      <c r="D94" s="11" t="s">
        <v>149</v>
      </c>
      <c r="E94" s="13" t="s">
        <v>156</v>
      </c>
      <c r="F94" s="10" t="n">
        <v>230</v>
      </c>
      <c r="G94" s="10" t="n">
        <v>230</v>
      </c>
      <c r="H94" s="14" t="n">
        <f aca="false">IFERROR(G94/F94,0)</f>
        <v>1</v>
      </c>
      <c r="I94" s="10"/>
      <c r="J94" s="10" t="s">
        <v>19</v>
      </c>
    </row>
    <row r="95" customFormat="false" ht="15" hidden="false" customHeight="false" outlineLevel="0" collapsed="false">
      <c r="A95" s="10" t="n">
        <v>91</v>
      </c>
      <c r="B95" s="11" t="s">
        <v>157</v>
      </c>
      <c r="C95" s="12" t="s">
        <v>19</v>
      </c>
      <c r="D95" s="11" t="s">
        <v>149</v>
      </c>
      <c r="E95" s="13" t="s">
        <v>158</v>
      </c>
      <c r="F95" s="10" t="n">
        <v>402</v>
      </c>
      <c r="G95" s="10" t="n">
        <v>402</v>
      </c>
      <c r="H95" s="14" t="n">
        <f aca="false">IFERROR(G95/F95,0)</f>
        <v>1</v>
      </c>
      <c r="I95" s="10"/>
      <c r="J95" s="10" t="s">
        <v>19</v>
      </c>
    </row>
    <row r="96" customFormat="false" ht="15" hidden="false" customHeight="true" outlineLevel="0" collapsed="false">
      <c r="A96" s="15" t="n">
        <v>92</v>
      </c>
      <c r="B96" s="27" t="s">
        <v>159</v>
      </c>
      <c r="C96" s="17" t="s">
        <v>23</v>
      </c>
      <c r="D96" s="16" t="s">
        <v>149</v>
      </c>
      <c r="E96" s="18" t="s">
        <v>160</v>
      </c>
      <c r="F96" s="15" t="n">
        <v>2506</v>
      </c>
      <c r="G96" s="15" t="n">
        <v>2234</v>
      </c>
      <c r="H96" s="19" t="n">
        <f aca="false">IFERROR(G96/F96,0)</f>
        <v>0.89146049481245</v>
      </c>
      <c r="I96" s="15" t="n">
        <v>80</v>
      </c>
      <c r="J96" s="20" t="n">
        <v>46274</v>
      </c>
    </row>
    <row r="97" customFormat="false" ht="15" hidden="false" customHeight="false" outlineLevel="0" collapsed="false">
      <c r="A97" s="10" t="n">
        <v>93</v>
      </c>
      <c r="B97" s="27"/>
      <c r="C97" s="12" t="s">
        <v>19</v>
      </c>
      <c r="D97" s="11" t="s">
        <v>149</v>
      </c>
      <c r="E97" s="13" t="s">
        <v>161</v>
      </c>
      <c r="F97" s="10" t="n">
        <v>658</v>
      </c>
      <c r="G97" s="10" t="n">
        <v>687</v>
      </c>
      <c r="H97" s="14" t="n">
        <f aca="false">IFERROR(G97/F97,0)</f>
        <v>1.04407294832827</v>
      </c>
      <c r="I97" s="10"/>
      <c r="J97" s="10" t="s">
        <v>19</v>
      </c>
    </row>
    <row r="98" customFormat="false" ht="15" hidden="false" customHeight="false" outlineLevel="0" collapsed="false">
      <c r="A98" s="15" t="n">
        <v>94</v>
      </c>
      <c r="B98" s="16" t="s">
        <v>162</v>
      </c>
      <c r="C98" s="17" t="s">
        <v>23</v>
      </c>
      <c r="D98" s="16" t="s">
        <v>149</v>
      </c>
      <c r="E98" s="18" t="s">
        <v>163</v>
      </c>
      <c r="F98" s="15" t="n">
        <v>2855</v>
      </c>
      <c r="G98" s="15" t="n">
        <v>2584</v>
      </c>
      <c r="H98" s="19" t="n">
        <f aca="false">IFERROR(G98/F98,0)</f>
        <v>0.90507880910683</v>
      </c>
      <c r="I98" s="15" t="n">
        <v>80</v>
      </c>
      <c r="J98" s="20" t="n">
        <v>46274</v>
      </c>
    </row>
    <row r="99" customFormat="false" ht="15" hidden="false" customHeight="true" outlineLevel="0" collapsed="false">
      <c r="A99" s="15" t="n">
        <v>95</v>
      </c>
      <c r="B99" s="27" t="s">
        <v>164</v>
      </c>
      <c r="C99" s="17" t="s">
        <v>23</v>
      </c>
      <c r="D99" s="16" t="s">
        <v>149</v>
      </c>
      <c r="E99" s="18" t="s">
        <v>165</v>
      </c>
      <c r="F99" s="15" t="n">
        <v>1369</v>
      </c>
      <c r="G99" s="15" t="n">
        <v>1173</v>
      </c>
      <c r="H99" s="19" t="n">
        <f aca="false">IFERROR(G99/F99,0)</f>
        <v>0.856829802775749</v>
      </c>
      <c r="I99" s="15" t="n">
        <v>80</v>
      </c>
      <c r="J99" s="20" t="n">
        <v>46273</v>
      </c>
    </row>
    <row r="100" customFormat="false" ht="15" hidden="false" customHeight="false" outlineLevel="0" collapsed="false">
      <c r="A100" s="10" t="n">
        <v>96</v>
      </c>
      <c r="B100" s="27"/>
      <c r="C100" s="12" t="s">
        <v>50</v>
      </c>
      <c r="D100" s="11" t="s">
        <v>149</v>
      </c>
      <c r="E100" s="28" t="s">
        <v>166</v>
      </c>
      <c r="F100" s="10" t="n">
        <v>1948</v>
      </c>
      <c r="G100" s="10" t="n">
        <v>1379</v>
      </c>
      <c r="H100" s="14" t="n">
        <f aca="false">IFERROR(G100/F100,0)</f>
        <v>0.707905544147844</v>
      </c>
      <c r="I100" s="10" t="n">
        <v>80</v>
      </c>
      <c r="J100" s="29" t="n">
        <v>46280</v>
      </c>
    </row>
    <row r="101" customFormat="false" ht="15" hidden="false" customHeight="false" outlineLevel="0" collapsed="false">
      <c r="A101" s="15" t="n">
        <v>97</v>
      </c>
      <c r="B101" s="16" t="s">
        <v>167</v>
      </c>
      <c r="C101" s="17" t="s">
        <v>23</v>
      </c>
      <c r="D101" s="16" t="s">
        <v>149</v>
      </c>
      <c r="E101" s="18" t="s">
        <v>168</v>
      </c>
      <c r="F101" s="15" t="n">
        <v>2029</v>
      </c>
      <c r="G101" s="15" t="n">
        <v>1490</v>
      </c>
      <c r="H101" s="19" t="n">
        <f aca="false">IFERROR(G101/F101,0)</f>
        <v>0.734351897486447</v>
      </c>
      <c r="I101" s="15" t="n">
        <v>80</v>
      </c>
      <c r="J101" s="20" t="n">
        <v>46277</v>
      </c>
    </row>
    <row r="102" customFormat="false" ht="15" hidden="false" customHeight="true" outlineLevel="0" collapsed="false">
      <c r="A102" s="15" t="n">
        <v>98</v>
      </c>
      <c r="B102" s="27" t="s">
        <v>169</v>
      </c>
      <c r="C102" s="17" t="s">
        <v>23</v>
      </c>
      <c r="D102" s="16" t="s">
        <v>149</v>
      </c>
      <c r="E102" s="18" t="s">
        <v>170</v>
      </c>
      <c r="F102" s="15" t="n">
        <v>1145</v>
      </c>
      <c r="G102" s="15" t="n">
        <v>926</v>
      </c>
      <c r="H102" s="19" t="n">
        <f aca="false">IFERROR(G102/F102,0)</f>
        <v>0.808733624454148</v>
      </c>
      <c r="I102" s="15" t="n">
        <v>80</v>
      </c>
      <c r="J102" s="20" t="n">
        <v>46273</v>
      </c>
    </row>
    <row r="103" customFormat="false" ht="15" hidden="false" customHeight="false" outlineLevel="0" collapsed="false">
      <c r="A103" s="10" t="n">
        <v>99</v>
      </c>
      <c r="B103" s="27"/>
      <c r="C103" s="12" t="s">
        <v>50</v>
      </c>
      <c r="D103" s="11" t="s">
        <v>149</v>
      </c>
      <c r="E103" s="28" t="s">
        <v>171</v>
      </c>
      <c r="F103" s="10" t="n">
        <v>2131</v>
      </c>
      <c r="G103" s="10" t="n">
        <v>1289</v>
      </c>
      <c r="H103" s="14" t="n">
        <f aca="false">IFERROR(G103/F103,0)</f>
        <v>0.604880337869545</v>
      </c>
      <c r="I103" s="10" t="n">
        <v>80</v>
      </c>
      <c r="J103" s="29" t="n">
        <v>46284</v>
      </c>
    </row>
    <row r="104" customFormat="false" ht="15" hidden="false" customHeight="false" outlineLevel="0" collapsed="false">
      <c r="A104" s="10" t="n">
        <v>100</v>
      </c>
      <c r="B104" s="27"/>
      <c r="C104" s="12" t="s">
        <v>19</v>
      </c>
      <c r="D104" s="11" t="s">
        <v>149</v>
      </c>
      <c r="E104" s="13" t="s">
        <v>172</v>
      </c>
      <c r="F104" s="10" t="n">
        <v>204</v>
      </c>
      <c r="G104" s="10" t="n">
        <v>206</v>
      </c>
      <c r="H104" s="14" t="n">
        <f aca="false">IFERROR(G104/F104,0)</f>
        <v>1.00980392156863</v>
      </c>
      <c r="I104" s="10"/>
      <c r="J104" s="10" t="s">
        <v>19</v>
      </c>
    </row>
    <row r="105" customFormat="false" ht="15" hidden="false" customHeight="false" outlineLevel="0" collapsed="false">
      <c r="A105" s="15" t="n">
        <v>101</v>
      </c>
      <c r="B105" s="16" t="s">
        <v>173</v>
      </c>
      <c r="C105" s="17" t="s">
        <v>23</v>
      </c>
      <c r="D105" s="16" t="s">
        <v>149</v>
      </c>
      <c r="E105" s="18" t="s">
        <v>174</v>
      </c>
      <c r="F105" s="15" t="n">
        <v>3453</v>
      </c>
      <c r="G105" s="15" t="n">
        <v>2338</v>
      </c>
      <c r="H105" s="19" t="n">
        <f aca="false">IFERROR(G105/F105,0)</f>
        <v>0.677092383434695</v>
      </c>
      <c r="I105" s="15" t="n">
        <v>80</v>
      </c>
      <c r="J105" s="20" t="n">
        <v>46284</v>
      </c>
    </row>
    <row r="106" customFormat="false" ht="15" hidden="false" customHeight="true" outlineLevel="0" collapsed="false">
      <c r="A106" s="15" t="n">
        <v>102</v>
      </c>
      <c r="B106" s="27" t="s">
        <v>175</v>
      </c>
      <c r="C106" s="17" t="s">
        <v>23</v>
      </c>
      <c r="D106" s="16" t="s">
        <v>149</v>
      </c>
      <c r="E106" s="18" t="s">
        <v>176</v>
      </c>
      <c r="F106" s="15" t="n">
        <v>1109</v>
      </c>
      <c r="G106" s="15" t="n">
        <v>877</v>
      </c>
      <c r="H106" s="19" t="n">
        <f aca="false">IFERROR(G106/F106,0)</f>
        <v>0.790802524797115</v>
      </c>
      <c r="I106" s="15" t="n">
        <v>80</v>
      </c>
      <c r="J106" s="20" t="n">
        <v>46273</v>
      </c>
    </row>
    <row r="107" customFormat="false" ht="15" hidden="false" customHeight="false" outlineLevel="0" collapsed="false">
      <c r="A107" s="10" t="n">
        <v>103</v>
      </c>
      <c r="B107" s="27"/>
      <c r="C107" s="12" t="s">
        <v>50</v>
      </c>
      <c r="D107" s="11" t="s">
        <v>149</v>
      </c>
      <c r="E107" s="28" t="s">
        <v>177</v>
      </c>
      <c r="F107" s="10" t="n">
        <v>2345</v>
      </c>
      <c r="G107" s="10" t="n">
        <v>1096</v>
      </c>
      <c r="H107" s="14" t="n">
        <f aca="false">IFERROR(G107/F107,0)</f>
        <v>0.467377398720682</v>
      </c>
      <c r="I107" s="10" t="n">
        <v>80</v>
      </c>
      <c r="J107" s="29" t="n">
        <v>46289</v>
      </c>
    </row>
    <row r="108" customFormat="false" ht="15" hidden="false" customHeight="false" outlineLevel="0" collapsed="false">
      <c r="A108" s="10" t="n">
        <v>104</v>
      </c>
      <c r="B108" s="27"/>
      <c r="C108" s="12" t="s">
        <v>19</v>
      </c>
      <c r="D108" s="11" t="s">
        <v>149</v>
      </c>
      <c r="E108" s="13" t="s">
        <v>178</v>
      </c>
      <c r="F108" s="10" t="n">
        <v>531</v>
      </c>
      <c r="G108" s="10" t="n">
        <v>532</v>
      </c>
      <c r="H108" s="14" t="n">
        <f aca="false">IFERROR(G108/F108,0)</f>
        <v>1.00188323917137</v>
      </c>
      <c r="I108" s="10"/>
      <c r="J108" s="10" t="s">
        <v>19</v>
      </c>
    </row>
    <row r="109" customFormat="false" ht="15" hidden="false" customHeight="true" outlineLevel="0" collapsed="false">
      <c r="A109" s="15" t="n">
        <v>105</v>
      </c>
      <c r="B109" s="27" t="s">
        <v>179</v>
      </c>
      <c r="C109" s="17" t="s">
        <v>23</v>
      </c>
      <c r="D109" s="16" t="s">
        <v>149</v>
      </c>
      <c r="E109" s="18" t="s">
        <v>180</v>
      </c>
      <c r="F109" s="15" t="n">
        <v>6268</v>
      </c>
      <c r="G109" s="15" t="n">
        <v>3087</v>
      </c>
      <c r="H109" s="19" t="n">
        <f aca="false">IFERROR(G109/F109,0)</f>
        <v>0.492501595405233</v>
      </c>
      <c r="I109" s="15" t="n">
        <v>128</v>
      </c>
      <c r="J109" s="20" t="n">
        <v>46295</v>
      </c>
    </row>
    <row r="110" customFormat="false" ht="15" hidden="false" customHeight="false" outlineLevel="0" collapsed="false">
      <c r="A110" s="10" t="n">
        <v>106</v>
      </c>
      <c r="B110" s="27"/>
      <c r="C110" s="12" t="s">
        <v>19</v>
      </c>
      <c r="D110" s="11" t="s">
        <v>149</v>
      </c>
      <c r="E110" s="13" t="s">
        <v>181</v>
      </c>
      <c r="F110" s="10" t="n">
        <v>676</v>
      </c>
      <c r="G110" s="10" t="n">
        <v>678</v>
      </c>
      <c r="H110" s="14" t="n">
        <f aca="false">IFERROR(G110/F110,0)</f>
        <v>1.00295857988166</v>
      </c>
      <c r="I110" s="10"/>
      <c r="J110" s="10" t="s">
        <v>19</v>
      </c>
    </row>
    <row r="111" customFormat="false" ht="15" hidden="false" customHeight="true" outlineLevel="0" collapsed="false">
      <c r="A111" s="21" t="n">
        <v>107</v>
      </c>
      <c r="B111" s="33" t="s">
        <v>182</v>
      </c>
      <c r="C111" s="23" t="s">
        <v>23</v>
      </c>
      <c r="D111" s="22" t="s">
        <v>183</v>
      </c>
      <c r="E111" s="24" t="s">
        <v>184</v>
      </c>
      <c r="F111" s="21" t="n">
        <v>769</v>
      </c>
      <c r="G111" s="21" t="n">
        <v>698</v>
      </c>
      <c r="H111" s="25" t="n">
        <f aca="false">IFERROR(G111/F111,0)</f>
        <v>0.907672301690507</v>
      </c>
      <c r="I111" s="21" t="n">
        <v>80</v>
      </c>
      <c r="J111" s="26" t="n">
        <v>46271</v>
      </c>
    </row>
    <row r="112" customFormat="false" ht="15" hidden="false" customHeight="false" outlineLevel="0" collapsed="false">
      <c r="A112" s="10" t="n">
        <v>108</v>
      </c>
      <c r="B112" s="33"/>
      <c r="C112" s="12" t="s">
        <v>50</v>
      </c>
      <c r="D112" s="11" t="s">
        <v>183</v>
      </c>
      <c r="E112" s="28" t="s">
        <v>185</v>
      </c>
      <c r="F112" s="10" t="n">
        <v>302</v>
      </c>
      <c r="G112" s="10" t="n">
        <v>267</v>
      </c>
      <c r="H112" s="14" t="n">
        <f aca="false">IFERROR(G112/F112,0)</f>
        <v>0.884105960264901</v>
      </c>
      <c r="I112" s="10" t="n">
        <v>80</v>
      </c>
      <c r="J112" s="29" t="n">
        <v>46272</v>
      </c>
    </row>
    <row r="113" customFormat="false" ht="15" hidden="false" customHeight="false" outlineLevel="0" collapsed="false">
      <c r="A113" s="10" t="n">
        <v>109</v>
      </c>
      <c r="B113" s="33"/>
      <c r="C113" s="12" t="s">
        <v>66</v>
      </c>
      <c r="D113" s="11" t="s">
        <v>183</v>
      </c>
      <c r="E113" s="30" t="s">
        <v>186</v>
      </c>
      <c r="F113" s="10" t="n">
        <v>429</v>
      </c>
      <c r="G113" s="10" t="n">
        <v>341</v>
      </c>
      <c r="H113" s="14" t="n">
        <f aca="false">IFERROR(G113/F113,0)</f>
        <v>0.794871794871795</v>
      </c>
      <c r="I113" s="10" t="n">
        <v>80</v>
      </c>
      <c r="J113" s="29" t="n">
        <v>46273</v>
      </c>
    </row>
    <row r="114" customFormat="false" ht="15" hidden="false" customHeight="false" outlineLevel="0" collapsed="false">
      <c r="A114" s="10" t="n">
        <v>110</v>
      </c>
      <c r="B114" s="33"/>
      <c r="C114" s="12" t="s">
        <v>19</v>
      </c>
      <c r="D114" s="11" t="s">
        <v>183</v>
      </c>
      <c r="E114" s="13" t="s">
        <v>187</v>
      </c>
      <c r="F114" s="10" t="n">
        <v>325</v>
      </c>
      <c r="G114" s="10" t="n">
        <v>325</v>
      </c>
      <c r="H114" s="14" t="n">
        <f aca="false">IFERROR(G114/F114,0)</f>
        <v>1</v>
      </c>
      <c r="I114" s="10"/>
      <c r="J114" s="10" t="s">
        <v>19</v>
      </c>
    </row>
    <row r="115" customFormat="false" ht="15" hidden="false" customHeight="false" outlineLevel="0" collapsed="false">
      <c r="A115" s="10" t="n">
        <v>111</v>
      </c>
      <c r="B115" s="33"/>
      <c r="C115" s="12" t="s">
        <v>19</v>
      </c>
      <c r="D115" s="11" t="s">
        <v>183</v>
      </c>
      <c r="E115" s="13" t="s">
        <v>188</v>
      </c>
      <c r="F115" s="10" t="n">
        <v>281</v>
      </c>
      <c r="G115" s="10" t="n">
        <v>281</v>
      </c>
      <c r="H115" s="14" t="n">
        <f aca="false">IFERROR(G115/F115,0)</f>
        <v>1</v>
      </c>
      <c r="I115" s="10"/>
      <c r="J115" s="10" t="s">
        <v>19</v>
      </c>
    </row>
    <row r="116" customFormat="false" ht="15" hidden="false" customHeight="false" outlineLevel="0" collapsed="false">
      <c r="A116" s="10" t="n">
        <v>112</v>
      </c>
      <c r="B116" s="33"/>
      <c r="C116" s="12" t="s">
        <v>19</v>
      </c>
      <c r="D116" s="11" t="s">
        <v>183</v>
      </c>
      <c r="E116" s="13" t="s">
        <v>189</v>
      </c>
      <c r="F116" s="10" t="n">
        <v>166</v>
      </c>
      <c r="G116" s="10" t="n">
        <v>166</v>
      </c>
      <c r="H116" s="14" t="n">
        <f aca="false">IFERROR(G116/F116,0)</f>
        <v>1</v>
      </c>
      <c r="I116" s="10"/>
      <c r="J116" s="10" t="s">
        <v>19</v>
      </c>
    </row>
    <row r="117" customFormat="false" ht="15" hidden="false" customHeight="false" outlineLevel="0" collapsed="false">
      <c r="A117" s="10" t="n">
        <v>113</v>
      </c>
      <c r="B117" s="33"/>
      <c r="C117" s="12" t="s">
        <v>19</v>
      </c>
      <c r="D117" s="11" t="s">
        <v>183</v>
      </c>
      <c r="E117" s="13" t="s">
        <v>190</v>
      </c>
      <c r="F117" s="10" t="n">
        <v>192</v>
      </c>
      <c r="G117" s="10" t="n">
        <v>192</v>
      </c>
      <c r="H117" s="14" t="n">
        <f aca="false">IFERROR(G117/F117,0)</f>
        <v>1</v>
      </c>
      <c r="I117" s="10"/>
      <c r="J117" s="10" t="s">
        <v>19</v>
      </c>
    </row>
    <row r="118" customFormat="false" ht="15" hidden="false" customHeight="true" outlineLevel="0" collapsed="false">
      <c r="A118" s="15" t="n">
        <v>114</v>
      </c>
      <c r="B118" s="27" t="s">
        <v>191</v>
      </c>
      <c r="C118" s="17" t="s">
        <v>23</v>
      </c>
      <c r="D118" s="16" t="s">
        <v>183</v>
      </c>
      <c r="E118" s="18" t="s">
        <v>192</v>
      </c>
      <c r="F118" s="15" t="n">
        <v>737</v>
      </c>
      <c r="G118" s="15" t="n">
        <v>661</v>
      </c>
      <c r="H118" s="19" t="n">
        <f aca="false">IFERROR(G118/F118,0)</f>
        <v>0.896879240162822</v>
      </c>
      <c r="I118" s="15" t="n">
        <v>80</v>
      </c>
      <c r="J118" s="20" t="n">
        <v>46271</v>
      </c>
    </row>
    <row r="119" customFormat="false" ht="15" hidden="false" customHeight="false" outlineLevel="0" collapsed="false">
      <c r="A119" s="10" t="n">
        <v>115</v>
      </c>
      <c r="B119" s="27"/>
      <c r="C119" s="12" t="s">
        <v>50</v>
      </c>
      <c r="D119" s="11" t="s">
        <v>183</v>
      </c>
      <c r="E119" s="28" t="s">
        <v>193</v>
      </c>
      <c r="F119" s="10" t="n">
        <v>798</v>
      </c>
      <c r="G119" s="10" t="n">
        <v>433</v>
      </c>
      <c r="H119" s="14" t="n">
        <f aca="false">IFERROR(G119/F119,0)</f>
        <v>0.542606516290727</v>
      </c>
      <c r="I119" s="10" t="n">
        <v>80</v>
      </c>
      <c r="J119" s="29" t="n">
        <v>46276</v>
      </c>
    </row>
    <row r="120" customFormat="false" ht="15" hidden="false" customHeight="false" outlineLevel="0" collapsed="false">
      <c r="A120" s="10" t="n">
        <v>116</v>
      </c>
      <c r="B120" s="27"/>
      <c r="C120" s="12" t="s">
        <v>19</v>
      </c>
      <c r="D120" s="11" t="s">
        <v>183</v>
      </c>
      <c r="E120" s="13" t="s">
        <v>194</v>
      </c>
      <c r="F120" s="10" t="n">
        <v>286</v>
      </c>
      <c r="G120" s="10" t="n">
        <v>286</v>
      </c>
      <c r="H120" s="14" t="n">
        <f aca="false">IFERROR(G120/F120,0)</f>
        <v>1</v>
      </c>
      <c r="I120" s="10"/>
      <c r="J120" s="10" t="s">
        <v>19</v>
      </c>
    </row>
    <row r="121" customFormat="false" ht="15" hidden="false" customHeight="false" outlineLevel="0" collapsed="false">
      <c r="A121" s="10" t="n">
        <v>117</v>
      </c>
      <c r="B121" s="27"/>
      <c r="C121" s="12" t="s">
        <v>19</v>
      </c>
      <c r="D121" s="11" t="s">
        <v>183</v>
      </c>
      <c r="E121" s="13" t="s">
        <v>35</v>
      </c>
      <c r="F121" s="10" t="n">
        <v>421</v>
      </c>
      <c r="G121" s="10" t="n">
        <v>421</v>
      </c>
      <c r="H121" s="14" t="n">
        <f aca="false">IFERROR(G121/F121,0)</f>
        <v>1</v>
      </c>
      <c r="I121" s="10"/>
      <c r="J121" s="10" t="s">
        <v>19</v>
      </c>
    </row>
    <row r="122" customFormat="false" ht="15" hidden="false" customHeight="true" outlineLevel="0" collapsed="false">
      <c r="A122" s="15" t="n">
        <v>118</v>
      </c>
      <c r="B122" s="27" t="s">
        <v>195</v>
      </c>
      <c r="C122" s="17" t="s">
        <v>23</v>
      </c>
      <c r="D122" s="16" t="s">
        <v>183</v>
      </c>
      <c r="E122" s="18" t="s">
        <v>196</v>
      </c>
      <c r="F122" s="15" t="n">
        <v>633</v>
      </c>
      <c r="G122" s="15" t="n">
        <v>496</v>
      </c>
      <c r="H122" s="19" t="n">
        <f aca="false">IFERROR(G122/F122,0)</f>
        <v>0.783570300157978</v>
      </c>
      <c r="I122" s="15" t="n">
        <v>80</v>
      </c>
      <c r="J122" s="20" t="n">
        <v>46272</v>
      </c>
    </row>
    <row r="123" customFormat="false" ht="15" hidden="false" customHeight="false" outlineLevel="0" collapsed="false">
      <c r="A123" s="10" t="n">
        <v>119</v>
      </c>
      <c r="B123" s="27"/>
      <c r="C123" s="12" t="s">
        <v>50</v>
      </c>
      <c r="D123" s="11" t="s">
        <v>183</v>
      </c>
      <c r="E123" s="28" t="s">
        <v>197</v>
      </c>
      <c r="F123" s="10" t="n">
        <v>646</v>
      </c>
      <c r="G123" s="10" t="n">
        <v>484</v>
      </c>
      <c r="H123" s="14" t="n">
        <f aca="false">IFERROR(G123/F123,0)</f>
        <v>0.749226006191951</v>
      </c>
      <c r="I123" s="10" t="n">
        <v>80</v>
      </c>
      <c r="J123" s="29" t="n">
        <v>46274</v>
      </c>
    </row>
    <row r="124" customFormat="false" ht="15" hidden="false" customHeight="false" outlineLevel="0" collapsed="false">
      <c r="A124" s="10" t="n">
        <v>120</v>
      </c>
      <c r="B124" s="27"/>
      <c r="C124" s="12" t="s">
        <v>66</v>
      </c>
      <c r="D124" s="11" t="s">
        <v>183</v>
      </c>
      <c r="E124" s="30" t="s">
        <v>198</v>
      </c>
      <c r="F124" s="10" t="n">
        <v>517</v>
      </c>
      <c r="G124" s="10" t="n">
        <v>362</v>
      </c>
      <c r="H124" s="14" t="n">
        <f aca="false">IFERROR(G124/F124,0)</f>
        <v>0.700193423597679</v>
      </c>
      <c r="I124" s="10" t="n">
        <v>80</v>
      </c>
      <c r="J124" s="29" t="n">
        <v>46276</v>
      </c>
    </row>
    <row r="125" customFormat="false" ht="15" hidden="false" customHeight="false" outlineLevel="0" collapsed="false">
      <c r="A125" s="10" t="n">
        <v>121</v>
      </c>
      <c r="B125" s="27"/>
      <c r="C125" s="12" t="s">
        <v>68</v>
      </c>
      <c r="D125" s="11" t="s">
        <v>183</v>
      </c>
      <c r="E125" s="31" t="s">
        <v>199</v>
      </c>
      <c r="F125" s="10" t="n">
        <v>822</v>
      </c>
      <c r="G125" s="10" t="n">
        <v>164</v>
      </c>
      <c r="H125" s="14" t="n">
        <f aca="false">IFERROR(G125/F125,0)</f>
        <v>0.199513381995134</v>
      </c>
      <c r="I125" s="10" t="n">
        <v>80</v>
      </c>
      <c r="J125" s="29" t="n">
        <v>46284</v>
      </c>
    </row>
    <row r="126" customFormat="false" ht="15" hidden="false" customHeight="false" outlineLevel="0" collapsed="false">
      <c r="A126" s="10" t="n">
        <v>122</v>
      </c>
      <c r="B126" s="27"/>
      <c r="C126" s="12" t="s">
        <v>19</v>
      </c>
      <c r="D126" s="11" t="s">
        <v>183</v>
      </c>
      <c r="E126" s="13" t="s">
        <v>200</v>
      </c>
      <c r="F126" s="10" t="n">
        <v>222</v>
      </c>
      <c r="G126" s="10" t="n">
        <v>224</v>
      </c>
      <c r="H126" s="14" t="n">
        <f aca="false">IFERROR(G126/F126,0)</f>
        <v>1.00900900900901</v>
      </c>
      <c r="I126" s="10"/>
      <c r="J126" s="10" t="s">
        <v>19</v>
      </c>
    </row>
    <row r="127" customFormat="false" ht="15" hidden="false" customHeight="false" outlineLevel="0" collapsed="false">
      <c r="A127" s="10" t="n">
        <v>123</v>
      </c>
      <c r="B127" s="27"/>
      <c r="C127" s="12" t="s">
        <v>19</v>
      </c>
      <c r="D127" s="11" t="s">
        <v>183</v>
      </c>
      <c r="E127" s="13" t="s">
        <v>201</v>
      </c>
      <c r="F127" s="10" t="n">
        <v>362</v>
      </c>
      <c r="G127" s="10" t="n">
        <v>362</v>
      </c>
      <c r="H127" s="14" t="n">
        <f aca="false">IFERROR(G127/F127,0)</f>
        <v>1</v>
      </c>
      <c r="I127" s="10"/>
      <c r="J127" s="10" t="s">
        <v>19</v>
      </c>
    </row>
    <row r="128" customFormat="false" ht="15" hidden="false" customHeight="false" outlineLevel="0" collapsed="false">
      <c r="A128" s="10" t="n">
        <v>124</v>
      </c>
      <c r="B128" s="27"/>
      <c r="C128" s="12" t="s">
        <v>19</v>
      </c>
      <c r="D128" s="11" t="s">
        <v>183</v>
      </c>
      <c r="E128" s="13" t="s">
        <v>202</v>
      </c>
      <c r="F128" s="10" t="n">
        <v>128</v>
      </c>
      <c r="G128" s="10" t="n">
        <v>128</v>
      </c>
      <c r="H128" s="14" t="n">
        <f aca="false">IFERROR(G128/F128,0)</f>
        <v>1</v>
      </c>
      <c r="I128" s="10"/>
      <c r="J128" s="10" t="s">
        <v>19</v>
      </c>
    </row>
    <row r="129" customFormat="false" ht="15" hidden="false" customHeight="false" outlineLevel="0" collapsed="false">
      <c r="A129" s="39"/>
      <c r="B129" s="40"/>
      <c r="C129" s="40"/>
      <c r="D129" s="40"/>
      <c r="E129" s="40" t="s">
        <v>203</v>
      </c>
      <c r="F129" s="39" t="n">
        <f aca="false">SUM(F5:F128)</f>
        <v>193229</v>
      </c>
      <c r="G129" s="39" t="n">
        <f aca="false">SUM(G5:G128)</f>
        <v>111061</v>
      </c>
      <c r="H129" s="41" t="n">
        <f aca="false">IFERROR(G129/F129,0)</f>
        <v>0.574763622437626</v>
      </c>
      <c r="I129" s="39" t="n">
        <v>4525</v>
      </c>
      <c r="J129" s="42" t="n">
        <v>46295</v>
      </c>
    </row>
    <row r="131" customFormat="false" ht="36" hidden="false" customHeight="true" outlineLevel="0" collapsed="false">
      <c r="B131" s="43" t="s">
        <v>204</v>
      </c>
      <c r="C131" s="43"/>
      <c r="D131" s="43"/>
      <c r="E131" s="43"/>
      <c r="F131" s="43"/>
      <c r="G131" s="43"/>
      <c r="H131" s="43"/>
      <c r="I131" s="43"/>
      <c r="J131" s="43"/>
    </row>
  </sheetData>
  <mergeCells count="34">
    <mergeCell ref="A1:J1"/>
    <mergeCell ref="A2:J2"/>
    <mergeCell ref="B15:B16"/>
    <mergeCell ref="B18:B22"/>
    <mergeCell ref="B23:B26"/>
    <mergeCell ref="B27:B28"/>
    <mergeCell ref="B29:B36"/>
    <mergeCell ref="B38:B43"/>
    <mergeCell ref="B44:B46"/>
    <mergeCell ref="B47:B48"/>
    <mergeCell ref="B49:B50"/>
    <mergeCell ref="B51:B54"/>
    <mergeCell ref="B55:B56"/>
    <mergeCell ref="B58:B60"/>
    <mergeCell ref="B61:B62"/>
    <mergeCell ref="B63:B65"/>
    <mergeCell ref="B66:B68"/>
    <mergeCell ref="B69:B70"/>
    <mergeCell ref="B71:B72"/>
    <mergeCell ref="B73:B76"/>
    <mergeCell ref="B77:B80"/>
    <mergeCell ref="B81:B84"/>
    <mergeCell ref="B85:B88"/>
    <mergeCell ref="B90:B91"/>
    <mergeCell ref="B93:B94"/>
    <mergeCell ref="B96:B97"/>
    <mergeCell ref="B99:B100"/>
    <mergeCell ref="B102:B104"/>
    <mergeCell ref="B106:B108"/>
    <mergeCell ref="B109:B110"/>
    <mergeCell ref="B111:B117"/>
    <mergeCell ref="B118:B121"/>
    <mergeCell ref="B122:B128"/>
    <mergeCell ref="B131:J1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5"/>
    <col collapsed="false" customWidth="true" hidden="false" outlineLevel="0" max="8" min="4" style="0" width="12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" t="s">
        <v>205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44" t="s">
        <v>206</v>
      </c>
      <c r="B2" s="44"/>
      <c r="C2" s="44"/>
      <c r="D2" s="44"/>
      <c r="E2" s="44"/>
      <c r="F2" s="44"/>
      <c r="G2" s="44"/>
      <c r="H2" s="44"/>
      <c r="I2" s="44"/>
    </row>
    <row r="3" customFormat="false" ht="39.75" hidden="false" customHeight="true" outlineLevel="0" collapsed="false">
      <c r="A3" s="9" t="s">
        <v>11</v>
      </c>
      <c r="B3" s="9" t="s">
        <v>207</v>
      </c>
      <c r="C3" s="9" t="s">
        <v>208</v>
      </c>
      <c r="D3" s="9" t="s">
        <v>209</v>
      </c>
      <c r="E3" s="9" t="s">
        <v>210</v>
      </c>
      <c r="F3" s="9" t="s">
        <v>211</v>
      </c>
      <c r="G3" s="9" t="s">
        <v>212</v>
      </c>
      <c r="H3" s="9" t="s">
        <v>213</v>
      </c>
      <c r="I3" s="9" t="s">
        <v>214</v>
      </c>
    </row>
    <row r="4" customFormat="false" ht="15" hidden="false" customHeight="false" outlineLevel="0" collapsed="false">
      <c r="A4" s="11" t="s">
        <v>20</v>
      </c>
      <c r="B4" s="12" t="n">
        <v>3</v>
      </c>
      <c r="C4" s="45" t="n">
        <v>1</v>
      </c>
      <c r="D4" s="12" t="n">
        <v>0</v>
      </c>
      <c r="E4" s="12" t="n">
        <v>0</v>
      </c>
      <c r="F4" s="12" t="n">
        <v>1</v>
      </c>
      <c r="G4" s="12" t="n">
        <v>1</v>
      </c>
      <c r="H4" s="12" t="n">
        <v>0</v>
      </c>
      <c r="I4" s="12" t="n">
        <v>2</v>
      </c>
    </row>
    <row r="5" customFormat="false" ht="15" hidden="false" customHeight="false" outlineLevel="0" collapsed="false">
      <c r="A5" s="11" t="s">
        <v>28</v>
      </c>
      <c r="B5" s="12" t="n">
        <v>6</v>
      </c>
      <c r="C5" s="45" t="n">
        <v>0</v>
      </c>
      <c r="D5" s="12" t="n">
        <v>1</v>
      </c>
      <c r="E5" s="12" t="n">
        <v>0</v>
      </c>
      <c r="F5" s="12" t="n">
        <v>1</v>
      </c>
      <c r="G5" s="12" t="n">
        <v>1</v>
      </c>
      <c r="H5" s="12" t="n">
        <v>3</v>
      </c>
      <c r="I5" s="12" t="n">
        <v>6</v>
      </c>
    </row>
    <row r="6" customFormat="false" ht="15" hidden="false" customHeight="false" outlineLevel="0" collapsed="false">
      <c r="A6" s="11" t="s">
        <v>41</v>
      </c>
      <c r="B6" s="12" t="n">
        <v>43</v>
      </c>
      <c r="C6" s="45" t="n">
        <v>14</v>
      </c>
      <c r="D6" s="12" t="n">
        <v>10</v>
      </c>
      <c r="E6" s="12" t="n">
        <v>3</v>
      </c>
      <c r="F6" s="12" t="n">
        <v>3</v>
      </c>
      <c r="G6" s="12" t="n">
        <v>2</v>
      </c>
      <c r="H6" s="12" t="n">
        <v>11</v>
      </c>
      <c r="I6" s="12" t="n">
        <v>29</v>
      </c>
    </row>
    <row r="7" customFormat="false" ht="15" hidden="false" customHeight="false" outlineLevel="0" collapsed="false">
      <c r="A7" s="11" t="s">
        <v>103</v>
      </c>
      <c r="B7" s="12" t="n">
        <v>9</v>
      </c>
      <c r="C7" s="45" t="n">
        <v>3</v>
      </c>
      <c r="D7" s="12" t="n">
        <v>1</v>
      </c>
      <c r="E7" s="12" t="n">
        <v>3</v>
      </c>
      <c r="F7" s="12" t="n">
        <v>2</v>
      </c>
      <c r="G7" s="12" t="n">
        <v>0</v>
      </c>
      <c r="H7" s="12" t="n">
        <v>0</v>
      </c>
      <c r="I7" s="12" t="n">
        <v>6</v>
      </c>
    </row>
    <row r="8" customFormat="false" ht="15" hidden="false" customHeight="false" outlineLevel="0" collapsed="false">
      <c r="A8" s="11" t="s">
        <v>117</v>
      </c>
      <c r="B8" s="12" t="n">
        <v>24</v>
      </c>
      <c r="C8" s="45" t="n">
        <v>10</v>
      </c>
      <c r="D8" s="12" t="n">
        <v>4</v>
      </c>
      <c r="E8" s="12" t="n">
        <v>3</v>
      </c>
      <c r="F8" s="12" t="n">
        <v>1</v>
      </c>
      <c r="G8" s="12" t="n">
        <v>0</v>
      </c>
      <c r="H8" s="12" t="n">
        <v>6</v>
      </c>
      <c r="I8" s="12" t="n">
        <v>14</v>
      </c>
    </row>
    <row r="9" customFormat="false" ht="15" hidden="false" customHeight="false" outlineLevel="0" collapsed="false">
      <c r="A9" s="11" t="s">
        <v>149</v>
      </c>
      <c r="B9" s="12" t="n">
        <v>21</v>
      </c>
      <c r="C9" s="45" t="n">
        <v>10</v>
      </c>
      <c r="D9" s="12" t="n">
        <v>5</v>
      </c>
      <c r="E9" s="12" t="n">
        <v>2</v>
      </c>
      <c r="F9" s="12" t="n">
        <v>2</v>
      </c>
      <c r="G9" s="12" t="n">
        <v>1</v>
      </c>
      <c r="H9" s="12" t="n">
        <v>1</v>
      </c>
      <c r="I9" s="12" t="n">
        <v>11</v>
      </c>
    </row>
    <row r="10" customFormat="false" ht="15" hidden="false" customHeight="false" outlineLevel="0" collapsed="false">
      <c r="A10" s="11" t="s">
        <v>183</v>
      </c>
      <c r="B10" s="12" t="n">
        <v>18</v>
      </c>
      <c r="C10" s="45" t="n">
        <v>9</v>
      </c>
      <c r="D10" s="12" t="n">
        <v>6</v>
      </c>
      <c r="E10" s="12" t="n">
        <v>2</v>
      </c>
      <c r="F10" s="12" t="n">
        <v>1</v>
      </c>
      <c r="G10" s="12" t="n">
        <v>0</v>
      </c>
      <c r="H10" s="12" t="n">
        <v>0</v>
      </c>
      <c r="I10" s="12" t="n">
        <v>9</v>
      </c>
    </row>
    <row r="11" customFormat="false" ht="15" hidden="false" customHeight="false" outlineLevel="0" collapsed="false">
      <c r="A11" s="46" t="s">
        <v>203</v>
      </c>
      <c r="B11" s="47" t="n">
        <f aca="false">SUM(B4:B10)</f>
        <v>124</v>
      </c>
      <c r="C11" s="47" t="n">
        <f aca="false">SUM(C4:C10)</f>
        <v>47</v>
      </c>
      <c r="D11" s="47" t="n">
        <f aca="false">SUM(D4:D10)</f>
        <v>27</v>
      </c>
      <c r="E11" s="47" t="n">
        <f aca="false">SUM(E4:E10)</f>
        <v>13</v>
      </c>
      <c r="F11" s="47" t="n">
        <f aca="false">SUM(F4:F10)</f>
        <v>11</v>
      </c>
      <c r="G11" s="47" t="n">
        <f aca="false">SUM(G4:G10)</f>
        <v>5</v>
      </c>
      <c r="H11" s="47" t="n">
        <f aca="false">SUM(H4:H10)</f>
        <v>21</v>
      </c>
      <c r="I11" s="47" t="n">
        <f aca="false">SUM(I4:I10)</f>
        <v>77</v>
      </c>
    </row>
    <row r="13" customFormat="false" ht="31.5" hidden="false" customHeight="true" outlineLevel="0" collapsed="false">
      <c r="A13" s="43" t="s">
        <v>215</v>
      </c>
      <c r="B13" s="43"/>
      <c r="C13" s="43"/>
      <c r="D13" s="43"/>
      <c r="E13" s="43"/>
      <c r="F13" s="43"/>
      <c r="G13" s="43"/>
      <c r="H13" s="43"/>
      <c r="I13" s="43"/>
    </row>
  </sheetData>
  <mergeCells count="3">
    <mergeCell ref="A1:I1"/>
    <mergeCell ref="A2:I2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2026-09-04T09:06:53Z</dcterms:created>
  <dc:creator>openpyxl</dc:creator>
  <dc:description/>
  <dc:language>en-US</dc:language>
  <cp:lastModifiedBy/>
  <dcterms:modified xsi:type="dcterms:W3CDTF">2026-09-04T09:06:53Z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