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gristack\UPLOAD\"/>
    </mc:Choice>
  </mc:AlternateContent>
  <xr:revisionPtr revIDLastSave="0" documentId="13_ncr:1_{CBE21072-85B5-4529-99AB-974B78B1AE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4" r:id="rId1"/>
  </sheets>
  <definedNames>
    <definedName name="_xlnm._FilterDatabase" localSheetId="0" hidden="1">Sheet2!$E$1:$E$125</definedName>
  </definedNames>
  <calcPr calcId="191029"/>
</workbook>
</file>

<file path=xl/calcChain.xml><?xml version="1.0" encoding="utf-8"?>
<calcChain xmlns="http://schemas.openxmlformats.org/spreadsheetml/2006/main">
  <c r="H125" i="4" l="1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</calcChain>
</file>

<file path=xl/sharedStrings.xml><?xml version="1.0" encoding="utf-8"?>
<sst xmlns="http://schemas.openxmlformats.org/spreadsheetml/2006/main" count="759" uniqueCount="221">
  <si>
    <t>Bandipora</t>
  </si>
  <si>
    <t>Ajas</t>
  </si>
  <si>
    <t>Noorabad Ajas</t>
  </si>
  <si>
    <t>S.K.Payeen</t>
  </si>
  <si>
    <t>Aloosa</t>
  </si>
  <si>
    <t>Ashtangoo</t>
  </si>
  <si>
    <t>Kehnoosa</t>
  </si>
  <si>
    <t>Malangam</t>
  </si>
  <si>
    <t>Mangnipora</t>
  </si>
  <si>
    <t>Quil Muqam</t>
  </si>
  <si>
    <t>Ahemshreif</t>
  </si>
  <si>
    <t>Ajar</t>
  </si>
  <si>
    <t>Aragam</t>
  </si>
  <si>
    <t>Arindardpora</t>
  </si>
  <si>
    <t>Athwatoo</t>
  </si>
  <si>
    <t>Ayatmulla</t>
  </si>
  <si>
    <t>Bhutto</t>
  </si>
  <si>
    <t>Bonakoot</t>
  </si>
  <si>
    <t>Brar</t>
  </si>
  <si>
    <t>Chandaji</t>
  </si>
  <si>
    <t>Checki Arsalakhan</t>
  </si>
  <si>
    <t>Check Reshipora</t>
  </si>
  <si>
    <t>Chittibanday</t>
  </si>
  <si>
    <t>Chuntimulla</t>
  </si>
  <si>
    <t>Dachigam</t>
  </si>
  <si>
    <t>Gamaroo</t>
  </si>
  <si>
    <t>Garoora</t>
  </si>
  <si>
    <t>Gund Dachina</t>
  </si>
  <si>
    <t>Gundipora Rampora</t>
  </si>
  <si>
    <t>Gund Qasier</t>
  </si>
  <si>
    <t>Kaloosa Nathpora</t>
  </si>
  <si>
    <t>Kharpora</t>
  </si>
  <si>
    <t>Khayar</t>
  </si>
  <si>
    <t>Konan Babagund</t>
  </si>
  <si>
    <t>Kudara</t>
  </si>
  <si>
    <t>Labkachal</t>
  </si>
  <si>
    <t>Lawaypora</t>
  </si>
  <si>
    <t>Lowdara</t>
  </si>
  <si>
    <t>Madder</t>
  </si>
  <si>
    <t>Mantrigam</t>
  </si>
  <si>
    <t>Nadihal</t>
  </si>
  <si>
    <t>Nass</t>
  </si>
  <si>
    <t>Onagam</t>
  </si>
  <si>
    <t>Panjigam</t>
  </si>
  <si>
    <t>Papachan</t>
  </si>
  <si>
    <t>Qazipora Putushai</t>
  </si>
  <si>
    <t>Shamthan</t>
  </si>
  <si>
    <t>Sonerwani</t>
  </si>
  <si>
    <t>Sumlarshokbaba</t>
  </si>
  <si>
    <t>Takiya Ahmad Shah</t>
  </si>
  <si>
    <t>Watapora</t>
  </si>
  <si>
    <t>Weven</t>
  </si>
  <si>
    <t>Badwan</t>
  </si>
  <si>
    <t>Dawar</t>
  </si>
  <si>
    <t>Gulshanpora</t>
  </si>
  <si>
    <t>Kanzalwan Nail</t>
  </si>
  <si>
    <t>Khandiyal</t>
  </si>
  <si>
    <t>Koragbal</t>
  </si>
  <si>
    <t>Markoot</t>
  </si>
  <si>
    <t>Mastan Khopri</t>
  </si>
  <si>
    <t>Shahpora Achoora (Churwan)</t>
  </si>
  <si>
    <t>Hajin</t>
  </si>
  <si>
    <t>Baharabad</t>
  </si>
  <si>
    <t>Chandergeern</t>
  </si>
  <si>
    <t>Gulabwari</t>
  </si>
  <si>
    <t>Gund-I-Balkh</t>
  </si>
  <si>
    <t>Gundi Boon</t>
  </si>
  <si>
    <t>Gundi Jahangir</t>
  </si>
  <si>
    <t>Gund-I-Prang</t>
  </si>
  <si>
    <t>Gundi Ramzan</t>
  </si>
  <si>
    <t>Gundi Saderkote Sadunara</t>
  </si>
  <si>
    <t>Kanipora</t>
  </si>
  <si>
    <t>Kosumbagh</t>
  </si>
  <si>
    <t>Madwan</t>
  </si>
  <si>
    <t>Naidkhai</t>
  </si>
  <si>
    <t>Poshwari</t>
  </si>
  <si>
    <t>Rakhi Hajin</t>
  </si>
  <si>
    <t>Rakh-I-Malgam</t>
  </si>
  <si>
    <t>Sadunara</t>
  </si>
  <si>
    <t>Sari Hari Karan Gund</t>
  </si>
  <si>
    <t>Shah Gund</t>
  </si>
  <si>
    <t>Tangpora</t>
  </si>
  <si>
    <t>Vijipara</t>
  </si>
  <si>
    <t>Zoonipora</t>
  </si>
  <si>
    <t>Asham</t>
  </si>
  <si>
    <t>Chewa</t>
  </si>
  <si>
    <t>Gaad Khud</t>
  </si>
  <si>
    <t>Ganastan</t>
  </si>
  <si>
    <t>Gndi Khalil</t>
  </si>
  <si>
    <t>Gund-I-Nowgam</t>
  </si>
  <si>
    <t>Hilalabad</t>
  </si>
  <si>
    <t>Malikpora</t>
  </si>
  <si>
    <t>Najin</t>
  </si>
  <si>
    <t>Nowgam</t>
  </si>
  <si>
    <t>Odina</t>
  </si>
  <si>
    <t>Rakhi Shilvat</t>
  </si>
  <si>
    <t>Rakh-I-Sultanpora</t>
  </si>
  <si>
    <t>Rkhi Asham</t>
  </si>
  <si>
    <t>Sarai Dangerpora</t>
  </si>
  <si>
    <t>Shadipora</t>
  </si>
  <si>
    <t>Shilvat</t>
  </si>
  <si>
    <t>Sumbal Inderkot</t>
  </si>
  <si>
    <t>Trigam</t>
  </si>
  <si>
    <t>Wahidpora</t>
  </si>
  <si>
    <t>Zalpora</t>
  </si>
  <si>
    <t>Abdullian</t>
  </si>
  <si>
    <t>Baduaab</t>
  </si>
  <si>
    <t>Barnaie</t>
  </si>
  <si>
    <t>Budugam</t>
  </si>
  <si>
    <t>Buglinder</t>
  </si>
  <si>
    <t>Dengithal</t>
  </si>
  <si>
    <t>Gujran</t>
  </si>
  <si>
    <t>Gund Gul Sheikh</t>
  </si>
  <si>
    <t>Hussangam</t>
  </si>
  <si>
    <t>Jurnial</t>
  </si>
  <si>
    <t>Kilshay Payeen</t>
  </si>
  <si>
    <t>Manzgund</t>
  </si>
  <si>
    <t>Neeru</t>
  </si>
  <si>
    <t>Purana Tulail</t>
  </si>
  <si>
    <t>Saradaab</t>
  </si>
  <si>
    <t>Wazirthal</t>
  </si>
  <si>
    <t>Zedgey</t>
  </si>
  <si>
    <t>CONCERNED APPROVER</t>
  </si>
  <si>
    <t>AJAS</t>
  </si>
  <si>
    <t>Mohd AMin</t>
  </si>
  <si>
    <t>Naib Tehsildar(Nazir Ahmad Shah)</t>
  </si>
  <si>
    <t>Tehsildar Ajas</t>
  </si>
  <si>
    <t>BANDIPORA</t>
  </si>
  <si>
    <t>Wani Sajad Rasool</t>
  </si>
  <si>
    <t>GQ(Athar Majeed Shah)</t>
  </si>
  <si>
    <t>Tehsildar Bandipora</t>
  </si>
  <si>
    <t>TULAIL</t>
  </si>
  <si>
    <t>adil ali</t>
  </si>
  <si>
    <t>GQ(Ghulam Mohiddun)</t>
  </si>
  <si>
    <t>Tehsildar Tulail</t>
  </si>
  <si>
    <t>ALOOSA</t>
  </si>
  <si>
    <t>Bilal ahmad Dar</t>
  </si>
  <si>
    <t>Naib Tehsildar(Shabir Ahmad Pir)</t>
  </si>
  <si>
    <t>Tehsildar Aloosa</t>
  </si>
  <si>
    <t>kaka ram</t>
  </si>
  <si>
    <t>Naib Tehsildar(Reyaz Ahmad Pir)</t>
  </si>
  <si>
    <t>Mudasir Sultan</t>
  </si>
  <si>
    <t>Naib Tehsildar(liyaqat Ali Khan)</t>
  </si>
  <si>
    <t>SUMBAL</t>
  </si>
  <si>
    <t>GQ(Farooq Ahmad)</t>
  </si>
  <si>
    <t>Tehsildar Sumbal</t>
  </si>
  <si>
    <t>Altaf Ahmad Rather</t>
  </si>
  <si>
    <t>Mr. Mohammad Ashraf Hajam (BGQ)</t>
  </si>
  <si>
    <t>Mohammad rafiq</t>
  </si>
  <si>
    <t>umar afzal</t>
  </si>
  <si>
    <t>GUREZ</t>
  </si>
  <si>
    <t>Aqib Ali Timroo</t>
  </si>
  <si>
    <t>Naib Tehsildar(Irshad Ahmad Malik)</t>
  </si>
  <si>
    <t>Tehsildar Gurez</t>
  </si>
  <si>
    <t>HAJIN</t>
  </si>
  <si>
    <t>Mohd Ashraf Bhat</t>
  </si>
  <si>
    <t>Naib Tehsildar(Afzal Ahmad)</t>
  </si>
  <si>
    <t>Tehsildar Hajin</t>
  </si>
  <si>
    <t>Aijaz Hassan Buhroo</t>
  </si>
  <si>
    <t>Manzoor ahmad</t>
  </si>
  <si>
    <t>Naib Tehsildar(Sabzar Ahmad Paddar)</t>
  </si>
  <si>
    <t>MUSHTAQ MUNTIZAR</t>
  </si>
  <si>
    <t>GQ(Aijaz Ramzan Dar)</t>
  </si>
  <si>
    <t>Mir Ehsanul Haq</t>
  </si>
  <si>
    <t>GQ(Khursheed Ahmad lone)</t>
  </si>
  <si>
    <t>Nazeer Ahmad Lone</t>
  </si>
  <si>
    <t>Naib Tehsildar(Shoaib Pervaiz)</t>
  </si>
  <si>
    <t>MOHD ARIF KUMAR</t>
  </si>
  <si>
    <t>Tawseef Ahmad</t>
  </si>
  <si>
    <t>Naib Tehsildar(Obaid Peerzada)</t>
  </si>
  <si>
    <t>AB RASHID KHAN</t>
  </si>
  <si>
    <t>Mehraj din</t>
  </si>
  <si>
    <t>Mohd Iqbal</t>
  </si>
  <si>
    <t>Fariq Hussain</t>
  </si>
  <si>
    <t>Naib Tehsildar(Jameel Ahmad Lone)</t>
  </si>
  <si>
    <t>ishfaq ahmad</t>
  </si>
  <si>
    <t>Adil Murtaza</t>
  </si>
  <si>
    <t>Ghulam Mohiddun</t>
  </si>
  <si>
    <t>irfan ahmad</t>
  </si>
  <si>
    <t>GQ(Parvaiz Ahmad)</t>
  </si>
  <si>
    <t>Umar Jan</t>
  </si>
  <si>
    <t>Naib Tehsildar(Farooq Ahmad Shah)</t>
  </si>
  <si>
    <t>GQ(Bashir Ahmad Chopan)</t>
  </si>
  <si>
    <t>Waseem Bashir</t>
  </si>
  <si>
    <t>Aijaz Ahmad Wani</t>
  </si>
  <si>
    <t>MOHD SHAFI DAR</t>
  </si>
  <si>
    <t>Irfan Shafi Mir</t>
  </si>
  <si>
    <t>Mushtaq Ahmad Bhuroo</t>
  </si>
  <si>
    <t>Sajad Ahmad Shah</t>
  </si>
  <si>
    <t>GQ(Reyaz Ahmad)</t>
  </si>
  <si>
    <t>Nisar Ahmad</t>
  </si>
  <si>
    <t>Farooq ahmad</t>
  </si>
  <si>
    <t>Rayees Ahmad Kumar</t>
  </si>
  <si>
    <t>muzaffar ahmad</t>
  </si>
  <si>
    <t>Fayaz ahmad</t>
  </si>
  <si>
    <t>aijaz Ahmad Bhat</t>
  </si>
  <si>
    <t>Irshad Ahmad Sheikh</t>
  </si>
  <si>
    <t>mehraj abdullah</t>
  </si>
  <si>
    <t>Summair Bashir Haji</t>
  </si>
  <si>
    <t>S.No.</t>
  </si>
  <si>
    <t>TEHSIL</t>
  </si>
  <si>
    <t>VILLAGE</t>
  </si>
  <si>
    <t>CONCERNED PATWARI</t>
  </si>
  <si>
    <t>CONCERNED MAKER</t>
  </si>
  <si>
    <t>TOTAL KHASRAS</t>
  </si>
  <si>
    <t>Submitted village</t>
  </si>
  <si>
    <t>Match?</t>
  </si>
  <si>
    <t>submitted</t>
  </si>
  <si>
    <t>Sajad Ahmad Bhat</t>
  </si>
  <si>
    <t>Tufail Ahmad Bhat</t>
  </si>
  <si>
    <t>Sajid Ahmad</t>
  </si>
  <si>
    <t>parviz Ahmad</t>
  </si>
  <si>
    <t>Mudasir Yaseen</t>
  </si>
  <si>
    <t>Mudasir Ahmad Parray</t>
  </si>
  <si>
    <t>waseem ahamd wagay</t>
  </si>
  <si>
    <t>Feroz ahmad</t>
  </si>
  <si>
    <t>Seek Clarification</t>
  </si>
  <si>
    <t>Resubmitted</t>
  </si>
  <si>
    <t>verified</t>
  </si>
  <si>
    <t>Approved</t>
  </si>
  <si>
    <t>Total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</si>
</sst>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2"/>
      <color rgb="FF434343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3" fillId="3" borderId="1" xfId="0" applyFont="1" applyFill="1" applyBorder="1"/>
    <xf numFmtId="0" fontId="3" fillId="4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0" fillId="7" borderId="1" xfId="0" applyFill="1" applyBorder="1"/>
    <xf numFmtId="0" fontId="4" fillId="0" borderId="1" xfId="0" applyFont="1" applyBorder="1"/>
    <xf numFmtId="0" fontId="0" fillId="8" borderId="0" xfId="0" applyFill="1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6" borderId="1" xfId="0" applyFill="1" applyBorder="1"/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/>
    <xf numFmtId="0" fontId="1" fillId="0" borderId="1" xfId="0" applyFont="1" applyBorder="1" applyAlignment="1">
      <alignment vertical="top"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1598-DD78-4204-8625-2E9E48CF8A6D}">
  <dimension ref="A1:O125"/>
  <sheetViews>
    <sheetView tabSelected="1" topLeftCell="D1" zoomScale="90" zoomScaleNormal="100" workbookViewId="0">
      <selection activeCell="I2" sqref="I2:O125"/>
    </sheetView>
  </sheetViews>
  <sheetFormatPr defaultRowHeight="14.5" x14ac:dyDescent="0.35"/>
  <cols>
    <col min="3" max="3" width="19.1796875" customWidth="1"/>
    <col min="4" max="4" width="27.26953125" customWidth="1"/>
    <col min="5" max="5" width="18.81640625" customWidth="1"/>
    <col min="6" max="6" width="14.1796875" customWidth="1"/>
    <col min="9" max="9" width="17" style="11" customWidth="1"/>
    <col min="10" max="10" width="16.26953125" customWidth="1"/>
    <col min="11" max="14" width="13.453125" customWidth="1"/>
    <col min="15" max="15" width="11.6328125" customWidth="1"/>
  </cols>
  <sheetData>
    <row r="1" spans="1:15" ht="29" x14ac:dyDescent="0.35">
      <c r="A1" s="10" t="s">
        <v>199</v>
      </c>
      <c r="B1" s="10" t="s">
        <v>200</v>
      </c>
      <c r="C1" s="10" t="s">
        <v>201</v>
      </c>
      <c r="D1" s="15" t="s">
        <v>202</v>
      </c>
      <c r="E1" s="15" t="s">
        <v>203</v>
      </c>
      <c r="F1" s="15" t="s">
        <v>122</v>
      </c>
      <c r="G1" s="15" t="s">
        <v>204</v>
      </c>
      <c r="H1" s="15" t="s">
        <v>206</v>
      </c>
      <c r="I1" s="15" t="s">
        <v>205</v>
      </c>
      <c r="J1" s="22" t="s">
        <v>220</v>
      </c>
      <c r="K1" s="10" t="s">
        <v>207</v>
      </c>
      <c r="L1" s="10" t="s">
        <v>216</v>
      </c>
      <c r="M1" s="10" t="s">
        <v>217</v>
      </c>
      <c r="N1" s="10" t="s">
        <v>218</v>
      </c>
      <c r="O1" s="10" t="s">
        <v>219</v>
      </c>
    </row>
    <row r="2" spans="1:15" ht="31" x14ac:dyDescent="0.35">
      <c r="A2" s="3">
        <v>1</v>
      </c>
      <c r="B2" s="4" t="s">
        <v>131</v>
      </c>
      <c r="C2" s="9" t="s">
        <v>105</v>
      </c>
      <c r="D2" s="16" t="s">
        <v>132</v>
      </c>
      <c r="E2" s="16" t="s">
        <v>133</v>
      </c>
      <c r="F2" s="16" t="s">
        <v>134</v>
      </c>
      <c r="G2" s="17">
        <v>286</v>
      </c>
      <c r="H2" s="3" t="str">
        <f t="shared" ref="H2:H33" si="0">IF(C2=I2,"Match","Different")</f>
        <v>Match</v>
      </c>
      <c r="I2" s="13" t="s">
        <v>105</v>
      </c>
      <c r="J2" s="1">
        <v>286</v>
      </c>
      <c r="K2" s="1">
        <v>0</v>
      </c>
      <c r="L2" s="1">
        <v>0</v>
      </c>
      <c r="M2" s="1">
        <v>0</v>
      </c>
      <c r="N2" s="1">
        <v>0</v>
      </c>
      <c r="O2" s="1">
        <v>286</v>
      </c>
    </row>
    <row r="3" spans="1:15" ht="46.5" x14ac:dyDescent="0.35">
      <c r="A3" s="14">
        <v>2</v>
      </c>
      <c r="B3" s="8" t="s">
        <v>127</v>
      </c>
      <c r="C3" s="14" t="s">
        <v>10</v>
      </c>
      <c r="D3" s="18" t="s">
        <v>128</v>
      </c>
      <c r="E3" s="16" t="s">
        <v>142</v>
      </c>
      <c r="F3" s="18" t="s">
        <v>130</v>
      </c>
      <c r="G3" s="17">
        <v>739</v>
      </c>
      <c r="H3" s="3" t="str">
        <f t="shared" si="0"/>
        <v>Match</v>
      </c>
      <c r="I3" s="12" t="s">
        <v>10</v>
      </c>
      <c r="J3" s="2">
        <v>317</v>
      </c>
      <c r="K3" s="2">
        <v>14</v>
      </c>
      <c r="L3" s="2">
        <v>0</v>
      </c>
      <c r="M3" s="2">
        <v>0</v>
      </c>
      <c r="N3" s="2">
        <v>113</v>
      </c>
      <c r="O3" s="2">
        <v>190</v>
      </c>
    </row>
    <row r="4" spans="1:15" ht="46.5" x14ac:dyDescent="0.35">
      <c r="A4" s="14">
        <v>3</v>
      </c>
      <c r="B4" s="8" t="s">
        <v>127</v>
      </c>
      <c r="C4" s="14" t="s">
        <v>11</v>
      </c>
      <c r="D4" s="18" t="s">
        <v>128</v>
      </c>
      <c r="E4" s="16" t="s">
        <v>142</v>
      </c>
      <c r="F4" s="18" t="s">
        <v>130</v>
      </c>
      <c r="G4" s="17">
        <v>1066</v>
      </c>
      <c r="H4" s="3" t="str">
        <f t="shared" si="0"/>
        <v>Match</v>
      </c>
      <c r="I4" s="13" t="s">
        <v>11</v>
      </c>
      <c r="J4" s="1">
        <v>36</v>
      </c>
      <c r="K4" s="1">
        <v>0</v>
      </c>
      <c r="L4" s="1">
        <v>0</v>
      </c>
      <c r="M4" s="1">
        <v>0</v>
      </c>
      <c r="N4" s="1">
        <v>0</v>
      </c>
      <c r="O4" s="1">
        <v>36</v>
      </c>
    </row>
    <row r="5" spans="1:15" ht="46.5" x14ac:dyDescent="0.35">
      <c r="A5" s="3">
        <v>4</v>
      </c>
      <c r="B5" s="4" t="s">
        <v>123</v>
      </c>
      <c r="C5" s="9" t="s">
        <v>1</v>
      </c>
      <c r="D5" s="16" t="s">
        <v>124</v>
      </c>
      <c r="E5" s="16" t="s">
        <v>125</v>
      </c>
      <c r="F5" s="16" t="s">
        <v>126</v>
      </c>
      <c r="G5" s="17">
        <v>3312</v>
      </c>
      <c r="H5" s="3" t="str">
        <f t="shared" si="0"/>
        <v>Match</v>
      </c>
      <c r="I5" s="13" t="s">
        <v>1</v>
      </c>
      <c r="J5" s="1">
        <v>1757</v>
      </c>
      <c r="K5" s="1">
        <v>1689</v>
      </c>
      <c r="L5" s="1">
        <v>0</v>
      </c>
      <c r="M5" s="1">
        <v>2</v>
      </c>
      <c r="N5" s="1">
        <v>19</v>
      </c>
      <c r="O5" s="1">
        <v>47</v>
      </c>
    </row>
    <row r="6" spans="1:15" ht="46.5" x14ac:dyDescent="0.35">
      <c r="A6" s="3">
        <v>5</v>
      </c>
      <c r="B6" s="4" t="s">
        <v>135</v>
      </c>
      <c r="C6" s="9" t="s">
        <v>4</v>
      </c>
      <c r="D6" s="16" t="s">
        <v>136</v>
      </c>
      <c r="E6" s="16" t="s">
        <v>137</v>
      </c>
      <c r="F6" s="16" t="s">
        <v>138</v>
      </c>
      <c r="G6" s="17">
        <v>6138</v>
      </c>
      <c r="H6" s="3" t="str">
        <f t="shared" si="0"/>
        <v>Match</v>
      </c>
      <c r="I6" s="12" t="s">
        <v>4</v>
      </c>
      <c r="J6" s="2">
        <v>1729</v>
      </c>
      <c r="K6" s="2">
        <v>36</v>
      </c>
      <c r="L6" s="2">
        <v>0</v>
      </c>
      <c r="M6" s="2">
        <v>0</v>
      </c>
      <c r="N6" s="2">
        <v>1693</v>
      </c>
      <c r="O6" s="2">
        <v>0</v>
      </c>
    </row>
    <row r="7" spans="1:15" ht="46.5" x14ac:dyDescent="0.35">
      <c r="A7" s="3">
        <v>6</v>
      </c>
      <c r="B7" s="4" t="s">
        <v>127</v>
      </c>
      <c r="C7" s="9" t="s">
        <v>12</v>
      </c>
      <c r="D7" s="16" t="s">
        <v>139</v>
      </c>
      <c r="E7" s="16" t="s">
        <v>140</v>
      </c>
      <c r="F7" s="18" t="s">
        <v>130</v>
      </c>
      <c r="G7" s="17">
        <v>1628</v>
      </c>
      <c r="H7" s="3" t="str">
        <f t="shared" si="0"/>
        <v>Match</v>
      </c>
      <c r="I7" s="12" t="s">
        <v>12</v>
      </c>
      <c r="J7" s="2">
        <v>582</v>
      </c>
      <c r="K7" s="2">
        <v>317</v>
      </c>
      <c r="L7" s="2">
        <v>0</v>
      </c>
      <c r="M7" s="2">
        <v>0</v>
      </c>
      <c r="N7" s="2">
        <v>256</v>
      </c>
      <c r="O7" s="2">
        <v>9</v>
      </c>
    </row>
    <row r="8" spans="1:15" ht="31" x14ac:dyDescent="0.35">
      <c r="A8" s="3">
        <v>7</v>
      </c>
      <c r="B8" s="4" t="s">
        <v>127</v>
      </c>
      <c r="C8" s="9" t="s">
        <v>13</v>
      </c>
      <c r="D8" s="18" t="s">
        <v>141</v>
      </c>
      <c r="E8" s="18" t="s">
        <v>164</v>
      </c>
      <c r="F8" s="18" t="s">
        <v>130</v>
      </c>
      <c r="G8" s="17">
        <v>3909</v>
      </c>
      <c r="H8" s="3" t="str">
        <f t="shared" si="0"/>
        <v>Match</v>
      </c>
      <c r="I8" s="13" t="s">
        <v>13</v>
      </c>
      <c r="J8" s="1">
        <v>1070</v>
      </c>
      <c r="K8" s="1">
        <v>279</v>
      </c>
      <c r="L8" s="1">
        <v>0</v>
      </c>
      <c r="M8" s="1">
        <v>2</v>
      </c>
      <c r="N8" s="1">
        <v>337</v>
      </c>
      <c r="O8" s="1">
        <v>452</v>
      </c>
    </row>
    <row r="9" spans="1:15" ht="15.5" x14ac:dyDescent="0.35">
      <c r="A9" s="3">
        <v>8</v>
      </c>
      <c r="B9" s="5" t="s">
        <v>143</v>
      </c>
      <c r="C9" s="9" t="s">
        <v>84</v>
      </c>
      <c r="D9" s="19" t="s">
        <v>214</v>
      </c>
      <c r="E9" s="20" t="s">
        <v>144</v>
      </c>
      <c r="F9" s="19" t="s">
        <v>145</v>
      </c>
      <c r="G9" s="17">
        <v>3453</v>
      </c>
      <c r="H9" s="3" t="str">
        <f t="shared" si="0"/>
        <v>Match</v>
      </c>
      <c r="I9" s="12" t="s">
        <v>84</v>
      </c>
      <c r="J9" s="2">
        <v>1111</v>
      </c>
      <c r="K9" s="2">
        <v>0</v>
      </c>
      <c r="L9" s="2">
        <v>0</v>
      </c>
      <c r="M9" s="2">
        <v>0</v>
      </c>
      <c r="N9" s="2">
        <v>411</v>
      </c>
      <c r="O9" s="2">
        <v>700</v>
      </c>
    </row>
    <row r="10" spans="1:15" ht="46.5" x14ac:dyDescent="0.35">
      <c r="A10" s="3">
        <v>9</v>
      </c>
      <c r="B10" s="4" t="s">
        <v>135</v>
      </c>
      <c r="C10" s="9" t="s">
        <v>5</v>
      </c>
      <c r="D10" s="16" t="s">
        <v>146</v>
      </c>
      <c r="E10" s="16" t="s">
        <v>147</v>
      </c>
      <c r="F10" s="16" t="s">
        <v>138</v>
      </c>
      <c r="G10" s="17">
        <v>2204</v>
      </c>
      <c r="H10" s="3" t="str">
        <f t="shared" si="0"/>
        <v>Match</v>
      </c>
      <c r="I10" s="13" t="s">
        <v>5</v>
      </c>
      <c r="J10" s="1">
        <v>1624</v>
      </c>
      <c r="K10" s="1">
        <v>426</v>
      </c>
      <c r="L10" s="1">
        <v>0</v>
      </c>
      <c r="M10" s="1">
        <v>0</v>
      </c>
      <c r="N10" s="1">
        <v>1022</v>
      </c>
      <c r="O10" s="1">
        <v>176</v>
      </c>
    </row>
    <row r="11" spans="1:15" ht="31" x14ac:dyDescent="0.35">
      <c r="A11" s="3">
        <v>10</v>
      </c>
      <c r="B11" s="4" t="s">
        <v>127</v>
      </c>
      <c r="C11" s="9" t="s">
        <v>14</v>
      </c>
      <c r="D11" s="18" t="s">
        <v>148</v>
      </c>
      <c r="E11" s="18" t="s">
        <v>129</v>
      </c>
      <c r="F11" s="18" t="s">
        <v>130</v>
      </c>
      <c r="G11" s="17">
        <v>1162</v>
      </c>
      <c r="H11" s="3" t="str">
        <f t="shared" si="0"/>
        <v>Match</v>
      </c>
      <c r="I11" s="12" t="s">
        <v>14</v>
      </c>
      <c r="J11" s="2">
        <v>729</v>
      </c>
      <c r="K11" s="2">
        <v>5</v>
      </c>
      <c r="L11" s="2">
        <v>0</v>
      </c>
      <c r="M11" s="2">
        <v>0</v>
      </c>
      <c r="N11" s="2">
        <v>675</v>
      </c>
      <c r="O11" s="2">
        <v>49</v>
      </c>
    </row>
    <row r="12" spans="1:15" ht="31" x14ac:dyDescent="0.35">
      <c r="A12" s="3">
        <v>11</v>
      </c>
      <c r="B12" s="4" t="s">
        <v>127</v>
      </c>
      <c r="C12" s="3" t="s">
        <v>15</v>
      </c>
      <c r="D12" s="18" t="s">
        <v>128</v>
      </c>
      <c r="E12" s="18" t="s">
        <v>129</v>
      </c>
      <c r="F12" s="18" t="s">
        <v>130</v>
      </c>
      <c r="G12" s="17">
        <v>1336</v>
      </c>
      <c r="H12" s="3" t="str">
        <f t="shared" si="0"/>
        <v>Match</v>
      </c>
      <c r="I12" s="13" t="s">
        <v>15</v>
      </c>
      <c r="J12" s="1">
        <v>215</v>
      </c>
      <c r="K12" s="1">
        <v>0</v>
      </c>
      <c r="L12" s="1">
        <v>0</v>
      </c>
      <c r="M12" s="1">
        <v>0</v>
      </c>
      <c r="N12" s="1">
        <v>163</v>
      </c>
      <c r="O12" s="1">
        <v>52</v>
      </c>
    </row>
    <row r="13" spans="1:15" ht="31" x14ac:dyDescent="0.35">
      <c r="A13" s="3">
        <v>12</v>
      </c>
      <c r="B13" s="4" t="s">
        <v>131</v>
      </c>
      <c r="C13" s="9" t="s">
        <v>106</v>
      </c>
      <c r="D13" s="16" t="s">
        <v>132</v>
      </c>
      <c r="E13" s="16" t="s">
        <v>133</v>
      </c>
      <c r="F13" s="16" t="s">
        <v>134</v>
      </c>
      <c r="G13" s="17">
        <v>737</v>
      </c>
      <c r="H13" s="3" t="str">
        <f t="shared" si="0"/>
        <v>Match</v>
      </c>
      <c r="I13" s="12" t="s">
        <v>106</v>
      </c>
      <c r="J13" s="2">
        <v>500</v>
      </c>
      <c r="K13" s="2">
        <v>43</v>
      </c>
      <c r="L13" s="2">
        <v>0</v>
      </c>
      <c r="M13" s="2">
        <v>0</v>
      </c>
      <c r="N13" s="2">
        <v>447</v>
      </c>
      <c r="O13" s="2">
        <v>10</v>
      </c>
    </row>
    <row r="14" spans="1:15" ht="46.5" x14ac:dyDescent="0.35">
      <c r="A14" s="3">
        <v>13</v>
      </c>
      <c r="B14" s="5" t="s">
        <v>150</v>
      </c>
      <c r="C14" s="9" t="s">
        <v>52</v>
      </c>
      <c r="D14" s="19" t="s">
        <v>151</v>
      </c>
      <c r="E14" s="20" t="s">
        <v>152</v>
      </c>
      <c r="F14" s="19" t="s">
        <v>153</v>
      </c>
      <c r="G14" s="17">
        <v>1943</v>
      </c>
      <c r="H14" s="3" t="str">
        <f t="shared" si="0"/>
        <v>Match</v>
      </c>
      <c r="I14" s="13" t="s">
        <v>52</v>
      </c>
      <c r="J14" s="1">
        <v>683</v>
      </c>
      <c r="K14" s="1">
        <v>433</v>
      </c>
      <c r="L14" s="1">
        <v>0</v>
      </c>
      <c r="M14" s="1">
        <v>0</v>
      </c>
      <c r="N14" s="1">
        <v>0</v>
      </c>
      <c r="O14" s="1">
        <v>250</v>
      </c>
    </row>
    <row r="15" spans="1:15" ht="46.5" x14ac:dyDescent="0.35">
      <c r="A15" s="3">
        <v>14</v>
      </c>
      <c r="B15" s="4" t="s">
        <v>154</v>
      </c>
      <c r="C15" s="9" t="s">
        <v>62</v>
      </c>
      <c r="D15" s="16" t="s">
        <v>155</v>
      </c>
      <c r="E15" s="16" t="s">
        <v>156</v>
      </c>
      <c r="F15" s="16" t="s">
        <v>157</v>
      </c>
      <c r="G15" s="17">
        <v>2940</v>
      </c>
      <c r="H15" s="3" t="str">
        <f t="shared" si="0"/>
        <v>Match</v>
      </c>
      <c r="I15" s="12" t="s">
        <v>62</v>
      </c>
      <c r="J15" s="2">
        <v>624</v>
      </c>
      <c r="K15" s="2">
        <v>624</v>
      </c>
      <c r="L15" s="2">
        <v>0</v>
      </c>
      <c r="M15" s="2">
        <v>0</v>
      </c>
      <c r="N15" s="2">
        <v>0</v>
      </c>
      <c r="O15" s="2">
        <v>0</v>
      </c>
    </row>
    <row r="16" spans="1:15" ht="46.5" x14ac:dyDescent="0.35">
      <c r="A16" s="14">
        <v>15</v>
      </c>
      <c r="B16" s="8" t="s">
        <v>127</v>
      </c>
      <c r="C16" s="14" t="s">
        <v>0</v>
      </c>
      <c r="D16" s="18" t="s">
        <v>158</v>
      </c>
      <c r="E16" s="16" t="s">
        <v>142</v>
      </c>
      <c r="F16" s="18" t="s">
        <v>130</v>
      </c>
      <c r="G16" s="17">
        <v>4783</v>
      </c>
      <c r="H16" s="3" t="str">
        <f t="shared" si="0"/>
        <v>Match</v>
      </c>
      <c r="I16" s="12" t="s">
        <v>0</v>
      </c>
      <c r="J16" s="2">
        <v>58</v>
      </c>
      <c r="K16" s="2">
        <v>0</v>
      </c>
      <c r="L16" s="2">
        <v>0</v>
      </c>
      <c r="M16" s="2">
        <v>0</v>
      </c>
      <c r="N16" s="2">
        <v>19</v>
      </c>
      <c r="O16" s="2">
        <v>39</v>
      </c>
    </row>
    <row r="17" spans="1:15" ht="31" x14ac:dyDescent="0.35">
      <c r="A17" s="3">
        <v>16</v>
      </c>
      <c r="B17" s="4" t="s">
        <v>131</v>
      </c>
      <c r="C17" s="9" t="s">
        <v>107</v>
      </c>
      <c r="D17" s="16" t="s">
        <v>159</v>
      </c>
      <c r="E17" s="16" t="s">
        <v>133</v>
      </c>
      <c r="F17" s="16" t="s">
        <v>134</v>
      </c>
      <c r="G17" s="17">
        <v>429</v>
      </c>
      <c r="H17" s="3" t="str">
        <f t="shared" si="0"/>
        <v>Match</v>
      </c>
      <c r="I17" s="13" t="s">
        <v>107</v>
      </c>
      <c r="J17" s="1">
        <v>173</v>
      </c>
      <c r="K17" s="1">
        <v>39</v>
      </c>
      <c r="L17" s="1">
        <v>0</v>
      </c>
      <c r="M17" s="1">
        <v>0</v>
      </c>
      <c r="N17" s="1">
        <v>134</v>
      </c>
      <c r="O17" s="1">
        <v>0</v>
      </c>
    </row>
    <row r="18" spans="1:15" ht="46.5" x14ac:dyDescent="0.35">
      <c r="A18" s="14">
        <v>17</v>
      </c>
      <c r="B18" s="8" t="s">
        <v>127</v>
      </c>
      <c r="C18" s="14" t="s">
        <v>16</v>
      </c>
      <c r="D18" s="18" t="s">
        <v>128</v>
      </c>
      <c r="E18" s="16" t="s">
        <v>142</v>
      </c>
      <c r="F18" s="18" t="s">
        <v>130</v>
      </c>
      <c r="G18" s="17">
        <v>570</v>
      </c>
      <c r="H18" s="3" t="str">
        <f t="shared" si="0"/>
        <v>Match</v>
      </c>
      <c r="I18" s="13" t="s">
        <v>16</v>
      </c>
      <c r="J18" s="1">
        <v>210</v>
      </c>
      <c r="K18" s="1">
        <v>103</v>
      </c>
      <c r="L18" s="1">
        <v>0</v>
      </c>
      <c r="M18" s="1">
        <v>1</v>
      </c>
      <c r="N18" s="1">
        <v>88</v>
      </c>
      <c r="O18" s="1">
        <v>18</v>
      </c>
    </row>
    <row r="19" spans="1:15" ht="46.5" x14ac:dyDescent="0.35">
      <c r="A19" s="3">
        <v>18</v>
      </c>
      <c r="B19" s="4" t="s">
        <v>127</v>
      </c>
      <c r="C19" s="9" t="s">
        <v>17</v>
      </c>
      <c r="D19" s="18" t="s">
        <v>148</v>
      </c>
      <c r="E19" s="18" t="s">
        <v>160</v>
      </c>
      <c r="F19" s="18" t="s">
        <v>130</v>
      </c>
      <c r="G19" s="17">
        <v>5202</v>
      </c>
      <c r="H19" s="3" t="str">
        <f t="shared" si="0"/>
        <v>Match</v>
      </c>
      <c r="I19" s="12" t="s">
        <v>17</v>
      </c>
      <c r="J19" s="2">
        <v>393</v>
      </c>
      <c r="K19" s="2">
        <v>0</v>
      </c>
      <c r="L19" s="2">
        <v>0</v>
      </c>
      <c r="M19" s="2">
        <v>0</v>
      </c>
      <c r="N19" s="2">
        <v>0</v>
      </c>
      <c r="O19" s="2">
        <v>393</v>
      </c>
    </row>
    <row r="20" spans="1:15" ht="31" x14ac:dyDescent="0.35">
      <c r="A20" s="3">
        <v>19</v>
      </c>
      <c r="B20" s="4" t="s">
        <v>127</v>
      </c>
      <c r="C20" s="9" t="s">
        <v>18</v>
      </c>
      <c r="D20" s="18" t="s">
        <v>161</v>
      </c>
      <c r="E20" s="18" t="s">
        <v>162</v>
      </c>
      <c r="F20" s="18" t="s">
        <v>130</v>
      </c>
      <c r="G20" s="17">
        <v>902</v>
      </c>
      <c r="H20" s="3" t="str">
        <f t="shared" si="0"/>
        <v>Match</v>
      </c>
      <c r="I20" s="13" t="s">
        <v>18</v>
      </c>
      <c r="J20" s="1">
        <v>934</v>
      </c>
      <c r="K20" s="1">
        <v>0</v>
      </c>
      <c r="L20" s="1">
        <v>0</v>
      </c>
      <c r="M20" s="1">
        <v>0</v>
      </c>
      <c r="N20" s="1">
        <v>0</v>
      </c>
      <c r="O20" s="1">
        <v>934</v>
      </c>
    </row>
    <row r="21" spans="1:15" ht="31" x14ac:dyDescent="0.35">
      <c r="A21" s="3">
        <v>20</v>
      </c>
      <c r="B21" s="4" t="s">
        <v>131</v>
      </c>
      <c r="C21" s="9" t="s">
        <v>108</v>
      </c>
      <c r="D21" s="16" t="s">
        <v>149</v>
      </c>
      <c r="E21" s="16" t="s">
        <v>133</v>
      </c>
      <c r="F21" s="16" t="s">
        <v>134</v>
      </c>
      <c r="G21" s="17">
        <v>822</v>
      </c>
      <c r="H21" s="3" t="str">
        <f t="shared" si="0"/>
        <v>Match</v>
      </c>
      <c r="I21" s="12" t="s">
        <v>108</v>
      </c>
      <c r="J21" s="2">
        <v>129</v>
      </c>
      <c r="K21" s="2">
        <v>35</v>
      </c>
      <c r="L21" s="2">
        <v>0</v>
      </c>
      <c r="M21" s="2">
        <v>0</v>
      </c>
      <c r="N21" s="2">
        <v>94</v>
      </c>
      <c r="O21" s="2">
        <v>0</v>
      </c>
    </row>
    <row r="22" spans="1:15" ht="31" x14ac:dyDescent="0.35">
      <c r="A22" s="3">
        <v>21</v>
      </c>
      <c r="B22" s="4" t="s">
        <v>131</v>
      </c>
      <c r="C22" s="9" t="s">
        <v>109</v>
      </c>
      <c r="D22" s="16" t="s">
        <v>149</v>
      </c>
      <c r="E22" s="16" t="s">
        <v>133</v>
      </c>
      <c r="F22" s="16" t="s">
        <v>134</v>
      </c>
      <c r="G22" s="17">
        <v>646</v>
      </c>
      <c r="H22" s="3" t="str">
        <f t="shared" si="0"/>
        <v>Match</v>
      </c>
      <c r="I22" s="13" t="s">
        <v>109</v>
      </c>
      <c r="J22" s="1">
        <v>138</v>
      </c>
      <c r="K22" s="1">
        <v>0</v>
      </c>
      <c r="L22" s="1">
        <v>0</v>
      </c>
      <c r="M22" s="1">
        <v>0</v>
      </c>
      <c r="N22" s="1">
        <v>138</v>
      </c>
      <c r="O22" s="1">
        <v>0</v>
      </c>
    </row>
    <row r="23" spans="1:15" ht="31" x14ac:dyDescent="0.35">
      <c r="A23" s="3">
        <v>22</v>
      </c>
      <c r="B23" s="4" t="s">
        <v>127</v>
      </c>
      <c r="C23" s="9" t="s">
        <v>19</v>
      </c>
      <c r="D23" s="18" t="s">
        <v>167</v>
      </c>
      <c r="E23" s="18" t="s">
        <v>129</v>
      </c>
      <c r="F23" s="18" t="s">
        <v>130</v>
      </c>
      <c r="G23" s="17">
        <v>257</v>
      </c>
      <c r="H23" s="3" t="str">
        <f t="shared" si="0"/>
        <v>Match</v>
      </c>
      <c r="I23" s="12" t="s">
        <v>19</v>
      </c>
      <c r="J23" s="2">
        <v>257</v>
      </c>
      <c r="K23" s="2">
        <v>0</v>
      </c>
      <c r="L23" s="2">
        <v>0</v>
      </c>
      <c r="M23" s="2">
        <v>0</v>
      </c>
      <c r="N23" s="2">
        <v>0</v>
      </c>
      <c r="O23" s="2">
        <v>257</v>
      </c>
    </row>
    <row r="24" spans="1:15" ht="46.5" x14ac:dyDescent="0.35">
      <c r="A24" s="3">
        <v>23</v>
      </c>
      <c r="B24" s="4" t="s">
        <v>154</v>
      </c>
      <c r="C24" s="9" t="s">
        <v>63</v>
      </c>
      <c r="D24" s="16" t="s">
        <v>165</v>
      </c>
      <c r="E24" s="16" t="s">
        <v>166</v>
      </c>
      <c r="F24" s="16" t="s">
        <v>157</v>
      </c>
      <c r="G24" s="17">
        <v>1429</v>
      </c>
      <c r="H24" s="3" t="str">
        <f t="shared" si="0"/>
        <v>Match</v>
      </c>
      <c r="I24" s="13" t="s">
        <v>63</v>
      </c>
      <c r="J24" s="1">
        <v>731</v>
      </c>
      <c r="K24" s="1">
        <v>729</v>
      </c>
      <c r="L24" s="1">
        <v>0</v>
      </c>
      <c r="M24" s="1">
        <v>0</v>
      </c>
      <c r="N24" s="1">
        <v>0</v>
      </c>
      <c r="O24" s="1">
        <v>2</v>
      </c>
    </row>
    <row r="25" spans="1:15" ht="31" x14ac:dyDescent="0.35">
      <c r="A25" s="3">
        <v>24</v>
      </c>
      <c r="B25" s="4" t="s">
        <v>127</v>
      </c>
      <c r="C25" s="9" t="s">
        <v>21</v>
      </c>
      <c r="D25" s="18" t="s">
        <v>128</v>
      </c>
      <c r="E25" s="18" t="s">
        <v>129</v>
      </c>
      <c r="F25" s="18" t="s">
        <v>130</v>
      </c>
      <c r="G25" s="17">
        <v>303</v>
      </c>
      <c r="H25" s="3" t="str">
        <f t="shared" si="0"/>
        <v>Match</v>
      </c>
      <c r="I25" s="12" t="s">
        <v>21</v>
      </c>
      <c r="J25" s="2">
        <v>319</v>
      </c>
      <c r="K25" s="2">
        <v>0</v>
      </c>
      <c r="L25" s="2">
        <v>0</v>
      </c>
      <c r="M25" s="2">
        <v>0</v>
      </c>
      <c r="N25" s="2">
        <v>0</v>
      </c>
      <c r="O25" s="2">
        <v>319</v>
      </c>
    </row>
    <row r="26" spans="1:15" ht="31" x14ac:dyDescent="0.35">
      <c r="A26" s="3">
        <v>25</v>
      </c>
      <c r="B26" s="4" t="s">
        <v>127</v>
      </c>
      <c r="C26" s="9" t="s">
        <v>20</v>
      </c>
      <c r="D26" s="18" t="s">
        <v>163</v>
      </c>
      <c r="E26" s="18" t="s">
        <v>164</v>
      </c>
      <c r="F26" s="18" t="s">
        <v>130</v>
      </c>
      <c r="G26" s="17">
        <v>525</v>
      </c>
      <c r="H26" s="3" t="str">
        <f t="shared" si="0"/>
        <v>Match</v>
      </c>
      <c r="I26" s="13" t="s">
        <v>20</v>
      </c>
      <c r="J26" s="1">
        <v>553</v>
      </c>
      <c r="K26" s="1">
        <v>0</v>
      </c>
      <c r="L26" s="1">
        <v>0</v>
      </c>
      <c r="M26" s="1">
        <v>0</v>
      </c>
      <c r="N26" s="1">
        <v>0</v>
      </c>
      <c r="O26" s="1">
        <v>553</v>
      </c>
    </row>
    <row r="27" spans="1:15" ht="46.5" x14ac:dyDescent="0.35">
      <c r="A27" s="3">
        <v>26</v>
      </c>
      <c r="B27" s="6" t="s">
        <v>143</v>
      </c>
      <c r="C27" s="9" t="s">
        <v>85</v>
      </c>
      <c r="D27" s="19" t="s">
        <v>168</v>
      </c>
      <c r="E27" s="20" t="s">
        <v>169</v>
      </c>
      <c r="F27" s="19" t="s">
        <v>145</v>
      </c>
      <c r="G27" s="17">
        <v>1515</v>
      </c>
      <c r="H27" s="3" t="str">
        <f t="shared" si="0"/>
        <v>Match</v>
      </c>
      <c r="I27" s="13" t="s">
        <v>85</v>
      </c>
      <c r="J27" s="1">
        <v>1527</v>
      </c>
      <c r="K27" s="1">
        <v>494</v>
      </c>
      <c r="L27" s="1">
        <v>71</v>
      </c>
      <c r="M27" s="1">
        <v>3</v>
      </c>
      <c r="N27" s="1">
        <v>134</v>
      </c>
      <c r="O27" s="1">
        <v>825</v>
      </c>
    </row>
    <row r="28" spans="1:15" ht="46.5" x14ac:dyDescent="0.35">
      <c r="A28" s="3">
        <v>27</v>
      </c>
      <c r="B28" s="4" t="s">
        <v>127</v>
      </c>
      <c r="C28" s="9" t="s">
        <v>22</v>
      </c>
      <c r="D28" s="18" t="s">
        <v>170</v>
      </c>
      <c r="E28" s="16" t="s">
        <v>140</v>
      </c>
      <c r="F28" s="18" t="s">
        <v>130</v>
      </c>
      <c r="G28" s="17">
        <v>3473</v>
      </c>
      <c r="H28" s="3" t="str">
        <f t="shared" si="0"/>
        <v>Match</v>
      </c>
      <c r="I28" s="13" t="s">
        <v>22</v>
      </c>
      <c r="J28" s="1">
        <v>857</v>
      </c>
      <c r="K28" s="1">
        <v>501</v>
      </c>
      <c r="L28" s="1">
        <v>0</v>
      </c>
      <c r="M28" s="1">
        <v>0</v>
      </c>
      <c r="N28" s="1">
        <v>319</v>
      </c>
      <c r="O28" s="1">
        <v>37</v>
      </c>
    </row>
    <row r="29" spans="1:15" ht="31" x14ac:dyDescent="0.35">
      <c r="A29" s="3">
        <v>28</v>
      </c>
      <c r="B29" s="4" t="s">
        <v>127</v>
      </c>
      <c r="C29" s="9" t="s">
        <v>23</v>
      </c>
      <c r="D29" s="18" t="s">
        <v>171</v>
      </c>
      <c r="E29" s="18" t="s">
        <v>164</v>
      </c>
      <c r="F29" s="18" t="s">
        <v>130</v>
      </c>
      <c r="G29" s="17">
        <v>1450</v>
      </c>
      <c r="H29" s="3" t="str">
        <f t="shared" si="0"/>
        <v>Match</v>
      </c>
      <c r="I29" s="12" t="s">
        <v>23</v>
      </c>
      <c r="J29" s="2">
        <v>1334</v>
      </c>
      <c r="K29" s="2">
        <v>50</v>
      </c>
      <c r="L29" s="2">
        <v>0</v>
      </c>
      <c r="M29" s="2">
        <v>7</v>
      </c>
      <c r="N29" s="2">
        <v>240</v>
      </c>
      <c r="O29" s="2">
        <v>1037</v>
      </c>
    </row>
    <row r="30" spans="1:15" ht="31" x14ac:dyDescent="0.35">
      <c r="A30" s="3">
        <v>29</v>
      </c>
      <c r="B30" s="4" t="s">
        <v>127</v>
      </c>
      <c r="C30" s="9" t="s">
        <v>24</v>
      </c>
      <c r="D30" s="18" t="s">
        <v>158</v>
      </c>
      <c r="E30" s="18" t="s">
        <v>162</v>
      </c>
      <c r="F30" s="18" t="s">
        <v>130</v>
      </c>
      <c r="G30" s="17">
        <v>698</v>
      </c>
      <c r="H30" s="3" t="str">
        <f t="shared" si="0"/>
        <v>Match</v>
      </c>
      <c r="I30" s="13" t="s">
        <v>24</v>
      </c>
      <c r="J30" s="1">
        <v>618</v>
      </c>
      <c r="K30" s="1">
        <v>0</v>
      </c>
      <c r="L30" s="1">
        <v>0</v>
      </c>
      <c r="M30" s="1">
        <v>0</v>
      </c>
      <c r="N30" s="1">
        <v>0</v>
      </c>
      <c r="O30" s="1">
        <v>618</v>
      </c>
    </row>
    <row r="31" spans="1:15" ht="46.5" x14ac:dyDescent="0.35">
      <c r="A31" s="3">
        <v>30</v>
      </c>
      <c r="B31" s="5" t="s">
        <v>150</v>
      </c>
      <c r="C31" s="9" t="s">
        <v>53</v>
      </c>
      <c r="D31" s="19" t="s">
        <v>172</v>
      </c>
      <c r="E31" s="20" t="s">
        <v>152</v>
      </c>
      <c r="F31" s="19" t="s">
        <v>153</v>
      </c>
      <c r="G31" s="17">
        <v>1172</v>
      </c>
      <c r="H31" s="3" t="str">
        <f t="shared" si="0"/>
        <v>Match</v>
      </c>
      <c r="I31" s="12" t="s">
        <v>53</v>
      </c>
      <c r="J31" s="2">
        <v>238</v>
      </c>
      <c r="K31" s="2">
        <v>178</v>
      </c>
      <c r="L31" s="2">
        <v>0</v>
      </c>
      <c r="M31" s="2">
        <v>0</v>
      </c>
      <c r="N31" s="2">
        <v>0</v>
      </c>
      <c r="O31" s="2">
        <v>60</v>
      </c>
    </row>
    <row r="32" spans="1:15" ht="31" x14ac:dyDescent="0.35">
      <c r="A32" s="3">
        <v>31</v>
      </c>
      <c r="B32" s="4" t="s">
        <v>131</v>
      </c>
      <c r="C32" s="9" t="s">
        <v>110</v>
      </c>
      <c r="D32" s="16" t="s">
        <v>159</v>
      </c>
      <c r="E32" s="16" t="s">
        <v>133</v>
      </c>
      <c r="F32" s="16" t="s">
        <v>134</v>
      </c>
      <c r="G32" s="17">
        <v>302</v>
      </c>
      <c r="H32" s="3" t="str">
        <f t="shared" si="0"/>
        <v>Match</v>
      </c>
      <c r="I32" s="12" t="s">
        <v>110</v>
      </c>
      <c r="J32" s="2">
        <v>95</v>
      </c>
      <c r="K32" s="2">
        <v>38</v>
      </c>
      <c r="L32" s="2">
        <v>0</v>
      </c>
      <c r="M32" s="2">
        <v>0</v>
      </c>
      <c r="N32" s="2">
        <v>57</v>
      </c>
      <c r="O32" s="2">
        <v>0</v>
      </c>
    </row>
    <row r="33" spans="1:15" ht="46.5" x14ac:dyDescent="0.35">
      <c r="A33" s="3">
        <v>32</v>
      </c>
      <c r="B33" s="5" t="s">
        <v>143</v>
      </c>
      <c r="C33" s="9" t="s">
        <v>86</v>
      </c>
      <c r="D33" s="19" t="s">
        <v>173</v>
      </c>
      <c r="E33" s="20" t="s">
        <v>174</v>
      </c>
      <c r="F33" s="19" t="s">
        <v>145</v>
      </c>
      <c r="G33" s="17">
        <v>371</v>
      </c>
      <c r="H33" s="3" t="str">
        <f t="shared" si="0"/>
        <v>Match</v>
      </c>
      <c r="I33" s="12" t="s">
        <v>86</v>
      </c>
      <c r="J33" s="2">
        <v>371</v>
      </c>
      <c r="K33" s="2">
        <v>0</v>
      </c>
      <c r="L33" s="2">
        <v>0</v>
      </c>
      <c r="M33" s="2">
        <v>0</v>
      </c>
      <c r="N33" s="2">
        <v>0</v>
      </c>
      <c r="O33" s="2">
        <v>371</v>
      </c>
    </row>
    <row r="34" spans="1:15" ht="31" x14ac:dyDescent="0.35">
      <c r="A34" s="3">
        <v>33</v>
      </c>
      <c r="B34" s="4" t="s">
        <v>127</v>
      </c>
      <c r="C34" s="9" t="s">
        <v>25</v>
      </c>
      <c r="D34" s="18" t="s">
        <v>163</v>
      </c>
      <c r="E34" s="18" t="s">
        <v>164</v>
      </c>
      <c r="F34" s="18" t="s">
        <v>130</v>
      </c>
      <c r="G34" s="17">
        <v>676</v>
      </c>
      <c r="H34" s="3" t="str">
        <f t="shared" ref="H34:H65" si="1">IF(C34=I34,"Match","Different")</f>
        <v>Match</v>
      </c>
      <c r="I34" s="12" t="s">
        <v>25</v>
      </c>
      <c r="J34" s="2">
        <v>124</v>
      </c>
      <c r="K34" s="2">
        <v>4</v>
      </c>
      <c r="L34" s="2">
        <v>0</v>
      </c>
      <c r="M34" s="2">
        <v>3</v>
      </c>
      <c r="N34" s="2">
        <v>115</v>
      </c>
      <c r="O34" s="2">
        <v>2</v>
      </c>
    </row>
    <row r="35" spans="1:15" ht="46.5" x14ac:dyDescent="0.35">
      <c r="A35" s="3">
        <v>34</v>
      </c>
      <c r="B35" s="5" t="s">
        <v>143</v>
      </c>
      <c r="C35" s="9" t="s">
        <v>87</v>
      </c>
      <c r="D35" s="19" t="s">
        <v>175</v>
      </c>
      <c r="E35" s="20" t="s">
        <v>169</v>
      </c>
      <c r="F35" s="19" t="s">
        <v>145</v>
      </c>
      <c r="G35" s="17">
        <v>2131</v>
      </c>
      <c r="H35" s="3" t="str">
        <f t="shared" si="1"/>
        <v>Match</v>
      </c>
      <c r="I35" s="13" t="s">
        <v>87</v>
      </c>
      <c r="J35" s="1">
        <v>961</v>
      </c>
      <c r="K35" s="1">
        <v>581</v>
      </c>
      <c r="L35" s="1">
        <v>12</v>
      </c>
      <c r="M35" s="1">
        <v>1</v>
      </c>
      <c r="N35" s="1">
        <v>329</v>
      </c>
      <c r="O35" s="1">
        <v>38</v>
      </c>
    </row>
    <row r="36" spans="1:15" ht="46.5" x14ac:dyDescent="0.35">
      <c r="A36" s="3">
        <v>35</v>
      </c>
      <c r="B36" s="4" t="s">
        <v>127</v>
      </c>
      <c r="C36" s="9" t="s">
        <v>26</v>
      </c>
      <c r="D36" s="18" t="s">
        <v>208</v>
      </c>
      <c r="E36" s="16" t="s">
        <v>140</v>
      </c>
      <c r="F36" s="18" t="s">
        <v>130</v>
      </c>
      <c r="G36" s="17">
        <v>2966</v>
      </c>
      <c r="H36" s="3" t="str">
        <f t="shared" si="1"/>
        <v>Match</v>
      </c>
      <c r="I36" s="13" t="s">
        <v>26</v>
      </c>
      <c r="J36" s="1">
        <v>2078</v>
      </c>
      <c r="K36" s="1">
        <v>1886</v>
      </c>
      <c r="L36" s="1">
        <v>0</v>
      </c>
      <c r="M36" s="1">
        <v>0</v>
      </c>
      <c r="N36" s="1">
        <v>190</v>
      </c>
      <c r="O36" s="1">
        <v>2</v>
      </c>
    </row>
    <row r="37" spans="1:15" ht="31" x14ac:dyDescent="0.35">
      <c r="A37" s="3">
        <v>36</v>
      </c>
      <c r="B37" s="5" t="s">
        <v>143</v>
      </c>
      <c r="C37" s="9" t="s">
        <v>88</v>
      </c>
      <c r="D37" s="19" t="s">
        <v>178</v>
      </c>
      <c r="E37" s="20" t="s">
        <v>179</v>
      </c>
      <c r="F37" s="19" t="s">
        <v>145</v>
      </c>
      <c r="G37" s="17">
        <v>1369</v>
      </c>
      <c r="H37" s="3" t="str">
        <f t="shared" si="1"/>
        <v>Match</v>
      </c>
      <c r="I37" s="12" t="s">
        <v>88</v>
      </c>
      <c r="J37" s="2">
        <v>1031</v>
      </c>
      <c r="K37" s="2">
        <v>381</v>
      </c>
      <c r="L37" s="2">
        <v>10</v>
      </c>
      <c r="M37" s="2">
        <v>1</v>
      </c>
      <c r="N37" s="2">
        <v>0</v>
      </c>
      <c r="O37" s="2">
        <v>639</v>
      </c>
    </row>
    <row r="38" spans="1:15" ht="31" x14ac:dyDescent="0.35">
      <c r="A38" s="3">
        <v>37</v>
      </c>
      <c r="B38" s="4" t="s">
        <v>131</v>
      </c>
      <c r="C38" s="9" t="s">
        <v>111</v>
      </c>
      <c r="D38" s="16" t="s">
        <v>132</v>
      </c>
      <c r="E38" s="16" t="s">
        <v>133</v>
      </c>
      <c r="F38" s="16" t="s">
        <v>134</v>
      </c>
      <c r="G38" s="17">
        <v>798</v>
      </c>
      <c r="H38" s="3" t="str">
        <f t="shared" si="1"/>
        <v>Match</v>
      </c>
      <c r="I38" s="13" t="s">
        <v>111</v>
      </c>
      <c r="J38" s="1">
        <v>173</v>
      </c>
      <c r="K38" s="1">
        <v>47</v>
      </c>
      <c r="L38" s="1">
        <v>0</v>
      </c>
      <c r="M38" s="1">
        <v>0</v>
      </c>
      <c r="N38" s="1">
        <v>126</v>
      </c>
      <c r="O38" s="1">
        <v>0</v>
      </c>
    </row>
    <row r="39" spans="1:15" ht="46.5" x14ac:dyDescent="0.35">
      <c r="A39" s="3">
        <v>38</v>
      </c>
      <c r="B39" s="4" t="s">
        <v>154</v>
      </c>
      <c r="C39" s="9" t="s">
        <v>64</v>
      </c>
      <c r="D39" s="16" t="s">
        <v>176</v>
      </c>
      <c r="E39" s="16" t="s">
        <v>156</v>
      </c>
      <c r="F39" s="16" t="s">
        <v>157</v>
      </c>
      <c r="G39" s="17">
        <v>19</v>
      </c>
      <c r="H39" s="3" t="str">
        <f t="shared" si="1"/>
        <v>Match</v>
      </c>
      <c r="I39" s="12" t="s">
        <v>64</v>
      </c>
      <c r="J39" s="2">
        <v>19</v>
      </c>
      <c r="K39" s="2">
        <v>0</v>
      </c>
      <c r="L39" s="2">
        <v>0</v>
      </c>
      <c r="M39" s="2">
        <v>0</v>
      </c>
      <c r="N39" s="2">
        <v>0</v>
      </c>
      <c r="O39" s="2">
        <v>19</v>
      </c>
    </row>
    <row r="40" spans="1:15" ht="46.5" x14ac:dyDescent="0.35">
      <c r="A40" s="3">
        <v>39</v>
      </c>
      <c r="B40" s="5" t="s">
        <v>150</v>
      </c>
      <c r="C40" s="9" t="s">
        <v>54</v>
      </c>
      <c r="D40" s="19" t="s">
        <v>186</v>
      </c>
      <c r="E40" s="20" t="s">
        <v>152</v>
      </c>
      <c r="F40" s="19" t="s">
        <v>153</v>
      </c>
      <c r="G40" s="17">
        <v>1275</v>
      </c>
      <c r="H40" s="3" t="str">
        <f t="shared" si="1"/>
        <v>Match</v>
      </c>
      <c r="I40" s="13" t="s">
        <v>54</v>
      </c>
      <c r="J40" s="1">
        <v>534</v>
      </c>
      <c r="K40" s="1">
        <v>534</v>
      </c>
      <c r="L40" s="1">
        <v>0</v>
      </c>
      <c r="M40" s="1">
        <v>0</v>
      </c>
      <c r="N40" s="1">
        <v>0</v>
      </c>
      <c r="O40" s="1">
        <v>0</v>
      </c>
    </row>
    <row r="41" spans="1:15" ht="46.5" x14ac:dyDescent="0.35">
      <c r="A41" s="3">
        <v>40</v>
      </c>
      <c r="B41" s="4" t="s">
        <v>154</v>
      </c>
      <c r="C41" s="9" t="s">
        <v>54</v>
      </c>
      <c r="D41" s="16" t="s">
        <v>155</v>
      </c>
      <c r="E41" s="16" t="s">
        <v>166</v>
      </c>
      <c r="F41" s="16" t="s">
        <v>157</v>
      </c>
      <c r="G41" s="17">
        <v>829</v>
      </c>
      <c r="H41" s="3" t="str">
        <f t="shared" si="1"/>
        <v>Match</v>
      </c>
      <c r="I41" s="13" t="s">
        <v>54</v>
      </c>
      <c r="J41" s="1">
        <v>773</v>
      </c>
      <c r="K41" s="1">
        <v>773</v>
      </c>
      <c r="L41" s="1">
        <v>0</v>
      </c>
      <c r="M41" s="1">
        <v>0</v>
      </c>
      <c r="N41" s="1">
        <v>0</v>
      </c>
      <c r="O41" s="1">
        <v>0</v>
      </c>
    </row>
    <row r="42" spans="1:15" ht="31" x14ac:dyDescent="0.35">
      <c r="A42" s="3">
        <v>41</v>
      </c>
      <c r="B42" s="4" t="s">
        <v>127</v>
      </c>
      <c r="C42" s="9" t="s">
        <v>27</v>
      </c>
      <c r="D42" s="18" t="s">
        <v>170</v>
      </c>
      <c r="E42" s="18" t="s">
        <v>162</v>
      </c>
      <c r="F42" s="18" t="s">
        <v>130</v>
      </c>
      <c r="G42" s="17">
        <v>691</v>
      </c>
      <c r="H42" s="3" t="str">
        <f t="shared" si="1"/>
        <v>Match</v>
      </c>
      <c r="I42" s="12" t="s">
        <v>27</v>
      </c>
      <c r="J42" s="2">
        <v>256</v>
      </c>
      <c r="K42" s="2">
        <v>0</v>
      </c>
      <c r="L42" s="2">
        <v>0</v>
      </c>
      <c r="M42" s="2">
        <v>0</v>
      </c>
      <c r="N42" s="2">
        <v>141</v>
      </c>
      <c r="O42" s="2">
        <v>115</v>
      </c>
    </row>
    <row r="43" spans="1:15" ht="31" x14ac:dyDescent="0.35">
      <c r="A43" s="3">
        <v>42</v>
      </c>
      <c r="B43" s="4" t="s">
        <v>131</v>
      </c>
      <c r="C43" s="9" t="s">
        <v>112</v>
      </c>
      <c r="D43" s="16" t="s">
        <v>149</v>
      </c>
      <c r="E43" s="16" t="s">
        <v>133</v>
      </c>
      <c r="F43" s="16" t="s">
        <v>134</v>
      </c>
      <c r="G43" s="17">
        <v>222</v>
      </c>
      <c r="H43" s="3" t="str">
        <f t="shared" si="1"/>
        <v>Match</v>
      </c>
      <c r="I43" s="12" t="s">
        <v>112</v>
      </c>
      <c r="J43" s="2">
        <v>224</v>
      </c>
      <c r="K43" s="2">
        <v>0</v>
      </c>
      <c r="L43" s="2">
        <v>0</v>
      </c>
      <c r="M43" s="2">
        <v>0</v>
      </c>
      <c r="N43" s="2">
        <v>218</v>
      </c>
      <c r="O43" s="2">
        <v>6</v>
      </c>
    </row>
    <row r="44" spans="1:15" ht="31" x14ac:dyDescent="0.35">
      <c r="A44" s="3">
        <v>43</v>
      </c>
      <c r="B44" s="4" t="s">
        <v>127</v>
      </c>
      <c r="C44" s="9" t="s">
        <v>29</v>
      </c>
      <c r="D44" s="18" t="s">
        <v>163</v>
      </c>
      <c r="E44" s="18" t="s">
        <v>164</v>
      </c>
      <c r="F44" s="18" t="s">
        <v>130</v>
      </c>
      <c r="G44" s="17">
        <v>643</v>
      </c>
      <c r="H44" s="3" t="str">
        <f t="shared" si="1"/>
        <v>Match</v>
      </c>
      <c r="I44" s="12" t="s">
        <v>29</v>
      </c>
      <c r="J44" s="2">
        <v>304</v>
      </c>
      <c r="K44" s="2">
        <v>5</v>
      </c>
      <c r="L44" s="2">
        <v>0</v>
      </c>
      <c r="M44" s="2">
        <v>0</v>
      </c>
      <c r="N44" s="2">
        <v>275</v>
      </c>
      <c r="O44" s="2">
        <v>24</v>
      </c>
    </row>
    <row r="45" spans="1:15" ht="31" x14ac:dyDescent="0.35">
      <c r="A45" s="3">
        <v>44</v>
      </c>
      <c r="B45" s="4" t="s">
        <v>154</v>
      </c>
      <c r="C45" s="9" t="s">
        <v>66</v>
      </c>
      <c r="D45" s="16" t="s">
        <v>176</v>
      </c>
      <c r="E45" s="16" t="s">
        <v>182</v>
      </c>
      <c r="F45" s="16" t="s">
        <v>157</v>
      </c>
      <c r="G45" s="17">
        <v>830</v>
      </c>
      <c r="H45" s="3" t="str">
        <f t="shared" si="1"/>
        <v>Match</v>
      </c>
      <c r="I45" s="13" t="s">
        <v>66</v>
      </c>
      <c r="J45" s="1">
        <v>315</v>
      </c>
      <c r="K45" s="1">
        <v>0</v>
      </c>
      <c r="L45" s="1">
        <v>0</v>
      </c>
      <c r="M45" s="1">
        <v>0</v>
      </c>
      <c r="N45" s="1">
        <v>205</v>
      </c>
      <c r="O45" s="1">
        <v>110</v>
      </c>
    </row>
    <row r="46" spans="1:15" ht="46.5" x14ac:dyDescent="0.35">
      <c r="A46" s="3">
        <v>45</v>
      </c>
      <c r="B46" s="4" t="s">
        <v>154</v>
      </c>
      <c r="C46" s="9" t="s">
        <v>67</v>
      </c>
      <c r="D46" s="16" t="s">
        <v>177</v>
      </c>
      <c r="E46" s="16" t="s">
        <v>156</v>
      </c>
      <c r="F46" s="16" t="s">
        <v>157</v>
      </c>
      <c r="G46" s="17">
        <v>1485</v>
      </c>
      <c r="H46" s="3" t="str">
        <f t="shared" si="1"/>
        <v>Match</v>
      </c>
      <c r="I46" s="12" t="s">
        <v>67</v>
      </c>
      <c r="J46" s="2">
        <v>275</v>
      </c>
      <c r="K46" s="2">
        <v>66</v>
      </c>
      <c r="L46" s="2">
        <v>1</v>
      </c>
      <c r="M46" s="2">
        <v>0</v>
      </c>
      <c r="N46" s="2">
        <v>185</v>
      </c>
      <c r="O46" s="2">
        <v>23</v>
      </c>
    </row>
    <row r="47" spans="1:15" ht="46.5" x14ac:dyDescent="0.35">
      <c r="A47" s="3">
        <v>46</v>
      </c>
      <c r="B47" s="4" t="s">
        <v>154</v>
      </c>
      <c r="C47" s="9" t="s">
        <v>69</v>
      </c>
      <c r="D47" s="16" t="s">
        <v>155</v>
      </c>
      <c r="E47" s="16" t="s">
        <v>156</v>
      </c>
      <c r="F47" s="16" t="s">
        <v>157</v>
      </c>
      <c r="G47" s="17">
        <v>6</v>
      </c>
      <c r="H47" s="3" t="str">
        <f t="shared" si="1"/>
        <v>Match</v>
      </c>
      <c r="I47" s="12" t="s">
        <v>69</v>
      </c>
      <c r="J47" s="2">
        <v>6</v>
      </c>
      <c r="K47" s="2">
        <v>0</v>
      </c>
      <c r="L47" s="2">
        <v>0</v>
      </c>
      <c r="M47" s="2">
        <v>0</v>
      </c>
      <c r="N47" s="2">
        <v>0</v>
      </c>
      <c r="O47" s="2">
        <v>6</v>
      </c>
    </row>
    <row r="48" spans="1:15" ht="46.5" x14ac:dyDescent="0.35">
      <c r="A48" s="3">
        <v>47</v>
      </c>
      <c r="B48" s="4" t="s">
        <v>154</v>
      </c>
      <c r="C48" s="9" t="s">
        <v>70</v>
      </c>
      <c r="D48" s="16" t="s">
        <v>180</v>
      </c>
      <c r="E48" s="16" t="s">
        <v>181</v>
      </c>
      <c r="F48" s="16" t="s">
        <v>157</v>
      </c>
      <c r="G48" s="17">
        <v>2909</v>
      </c>
      <c r="H48" s="3" t="str">
        <f t="shared" si="1"/>
        <v>Match</v>
      </c>
      <c r="I48" s="13" t="s">
        <v>70</v>
      </c>
      <c r="J48" s="1">
        <v>1365</v>
      </c>
      <c r="K48" s="1">
        <v>552</v>
      </c>
      <c r="L48" s="1">
        <v>3</v>
      </c>
      <c r="M48" s="1">
        <v>4</v>
      </c>
      <c r="N48" s="1">
        <v>1</v>
      </c>
      <c r="O48" s="1">
        <v>805</v>
      </c>
    </row>
    <row r="49" spans="1:15" ht="46.5" x14ac:dyDescent="0.35">
      <c r="A49" s="3">
        <v>48</v>
      </c>
      <c r="B49" s="7" t="s">
        <v>154</v>
      </c>
      <c r="C49" s="9" t="s">
        <v>65</v>
      </c>
      <c r="D49" s="16" t="s">
        <v>177</v>
      </c>
      <c r="E49" s="16" t="s">
        <v>156</v>
      </c>
      <c r="F49" s="16" t="s">
        <v>157</v>
      </c>
      <c r="G49" s="17">
        <v>258</v>
      </c>
      <c r="H49" s="3" t="str">
        <f t="shared" si="1"/>
        <v>Match</v>
      </c>
      <c r="I49" s="12" t="s">
        <v>65</v>
      </c>
      <c r="J49" s="2">
        <v>265</v>
      </c>
      <c r="K49" s="2">
        <v>0</v>
      </c>
      <c r="L49" s="2">
        <v>0</v>
      </c>
      <c r="M49" s="2">
        <v>0</v>
      </c>
      <c r="N49" s="2">
        <v>0</v>
      </c>
      <c r="O49" s="2">
        <v>265</v>
      </c>
    </row>
    <row r="50" spans="1:15" ht="46.5" x14ac:dyDescent="0.35">
      <c r="A50" s="3">
        <v>49</v>
      </c>
      <c r="B50" s="5" t="s">
        <v>143</v>
      </c>
      <c r="C50" s="9" t="s">
        <v>89</v>
      </c>
      <c r="D50" s="19" t="s">
        <v>190</v>
      </c>
      <c r="E50" s="20" t="s">
        <v>174</v>
      </c>
      <c r="F50" s="19" t="s">
        <v>145</v>
      </c>
      <c r="G50" s="17">
        <v>531</v>
      </c>
      <c r="H50" s="3" t="str">
        <f t="shared" si="1"/>
        <v>Match</v>
      </c>
      <c r="I50" s="13" t="s">
        <v>89</v>
      </c>
      <c r="J50" s="1">
        <v>532</v>
      </c>
      <c r="K50" s="1">
        <v>0</v>
      </c>
      <c r="L50" s="1">
        <v>0</v>
      </c>
      <c r="M50" s="1">
        <v>0</v>
      </c>
      <c r="N50" s="1">
        <v>0</v>
      </c>
      <c r="O50" s="1">
        <v>532</v>
      </c>
    </row>
    <row r="51" spans="1:15" ht="31" x14ac:dyDescent="0.35">
      <c r="A51" s="3">
        <v>50</v>
      </c>
      <c r="B51" s="4" t="s">
        <v>127</v>
      </c>
      <c r="C51" s="9" t="s">
        <v>28</v>
      </c>
      <c r="D51" s="18" t="s">
        <v>163</v>
      </c>
      <c r="E51" s="18" t="s">
        <v>164</v>
      </c>
      <c r="F51" s="18" t="s">
        <v>130</v>
      </c>
      <c r="G51" s="17">
        <v>1366</v>
      </c>
      <c r="H51" s="3" t="str">
        <f t="shared" si="1"/>
        <v>Match</v>
      </c>
      <c r="I51" s="13" t="s">
        <v>28</v>
      </c>
      <c r="J51" s="1">
        <v>2</v>
      </c>
      <c r="K51" s="1">
        <v>0</v>
      </c>
      <c r="L51" s="1">
        <v>0</v>
      </c>
      <c r="M51" s="1">
        <v>0</v>
      </c>
      <c r="N51" s="1">
        <v>0</v>
      </c>
      <c r="O51" s="1">
        <v>2</v>
      </c>
    </row>
    <row r="52" spans="1:15" ht="46.5" x14ac:dyDescent="0.35">
      <c r="A52" s="3">
        <v>51</v>
      </c>
      <c r="B52" s="4" t="s">
        <v>154</v>
      </c>
      <c r="C52" s="9" t="s">
        <v>68</v>
      </c>
      <c r="D52" s="16" t="s">
        <v>183</v>
      </c>
      <c r="E52" s="16" t="s">
        <v>125</v>
      </c>
      <c r="F52" s="16" t="s">
        <v>157</v>
      </c>
      <c r="G52" s="17">
        <v>899</v>
      </c>
      <c r="H52" s="3" t="str">
        <f t="shared" si="1"/>
        <v>Match</v>
      </c>
      <c r="I52" s="13" t="s">
        <v>68</v>
      </c>
      <c r="J52" s="1">
        <v>332</v>
      </c>
      <c r="K52" s="1">
        <v>332</v>
      </c>
      <c r="L52" s="1">
        <v>0</v>
      </c>
      <c r="M52" s="1">
        <v>0</v>
      </c>
      <c r="N52" s="1">
        <v>0</v>
      </c>
      <c r="O52" s="1">
        <v>0</v>
      </c>
    </row>
    <row r="53" spans="1:15" ht="46.5" x14ac:dyDescent="0.35">
      <c r="A53" s="3">
        <v>52</v>
      </c>
      <c r="B53" s="4" t="s">
        <v>154</v>
      </c>
      <c r="C53" s="9" t="s">
        <v>61</v>
      </c>
      <c r="D53" s="16" t="s">
        <v>184</v>
      </c>
      <c r="E53" s="16" t="s">
        <v>181</v>
      </c>
      <c r="F53" s="16" t="s">
        <v>157</v>
      </c>
      <c r="G53" s="17">
        <v>7372</v>
      </c>
      <c r="H53" s="3" t="str">
        <f t="shared" si="1"/>
        <v>Match</v>
      </c>
      <c r="I53" s="12" t="s">
        <v>61</v>
      </c>
      <c r="J53" s="2">
        <v>1622</v>
      </c>
      <c r="K53" s="2">
        <v>207</v>
      </c>
      <c r="L53" s="2">
        <v>0</v>
      </c>
      <c r="M53" s="2">
        <v>2</v>
      </c>
      <c r="N53" s="2">
        <v>970</v>
      </c>
      <c r="O53" s="2">
        <v>443</v>
      </c>
    </row>
    <row r="54" spans="1:15" ht="46.5" x14ac:dyDescent="0.35">
      <c r="A54" s="3">
        <v>53</v>
      </c>
      <c r="B54" s="5" t="s">
        <v>143</v>
      </c>
      <c r="C54" s="9" t="s">
        <v>90</v>
      </c>
      <c r="D54" s="19" t="s">
        <v>215</v>
      </c>
      <c r="E54" s="20" t="s">
        <v>169</v>
      </c>
      <c r="F54" s="19" t="s">
        <v>145</v>
      </c>
      <c r="G54" s="17">
        <v>2029</v>
      </c>
      <c r="H54" s="3" t="str">
        <f t="shared" si="1"/>
        <v>Match</v>
      </c>
      <c r="I54" s="12" t="s">
        <v>90</v>
      </c>
      <c r="J54" s="2">
        <v>777</v>
      </c>
      <c r="K54" s="2">
        <v>775</v>
      </c>
      <c r="L54" s="2">
        <v>0</v>
      </c>
      <c r="M54" s="2">
        <v>2</v>
      </c>
      <c r="N54" s="2">
        <v>0</v>
      </c>
      <c r="O54" s="2">
        <v>0</v>
      </c>
    </row>
    <row r="55" spans="1:15" ht="31" x14ac:dyDescent="0.35">
      <c r="A55" s="3">
        <v>54</v>
      </c>
      <c r="B55" s="4" t="s">
        <v>131</v>
      </c>
      <c r="C55" s="9" t="s">
        <v>113</v>
      </c>
      <c r="D55" s="16" t="s">
        <v>149</v>
      </c>
      <c r="E55" s="16" t="s">
        <v>133</v>
      </c>
      <c r="F55" s="16" t="s">
        <v>134</v>
      </c>
      <c r="G55" s="17">
        <v>362</v>
      </c>
      <c r="H55" s="3" t="str">
        <f t="shared" si="1"/>
        <v>Match</v>
      </c>
      <c r="I55" s="13" t="s">
        <v>113</v>
      </c>
      <c r="J55" s="1">
        <v>362</v>
      </c>
      <c r="K55" s="1">
        <v>0</v>
      </c>
      <c r="L55" s="1">
        <v>0</v>
      </c>
      <c r="M55" s="1">
        <v>0</v>
      </c>
      <c r="N55" s="1">
        <v>308</v>
      </c>
      <c r="O55" s="1">
        <v>54</v>
      </c>
    </row>
    <row r="56" spans="1:15" ht="31" x14ac:dyDescent="0.35">
      <c r="A56" s="3">
        <v>55</v>
      </c>
      <c r="B56" s="4" t="s">
        <v>131</v>
      </c>
      <c r="C56" s="9" t="s">
        <v>114</v>
      </c>
      <c r="D56" s="16" t="s">
        <v>159</v>
      </c>
      <c r="E56" s="16" t="s">
        <v>133</v>
      </c>
      <c r="F56" s="16" t="s">
        <v>134</v>
      </c>
      <c r="G56" s="17">
        <v>769</v>
      </c>
      <c r="H56" s="3" t="str">
        <f t="shared" si="1"/>
        <v>Match</v>
      </c>
      <c r="I56" s="12" t="s">
        <v>114</v>
      </c>
      <c r="J56" s="2">
        <v>456</v>
      </c>
      <c r="K56" s="2">
        <v>55</v>
      </c>
      <c r="L56" s="2">
        <v>0</v>
      </c>
      <c r="M56" s="2">
        <v>0</v>
      </c>
      <c r="N56" s="2">
        <v>401</v>
      </c>
      <c r="O56" s="2">
        <v>0</v>
      </c>
    </row>
    <row r="57" spans="1:15" ht="46.5" x14ac:dyDescent="0.35">
      <c r="A57" s="14">
        <v>56</v>
      </c>
      <c r="B57" s="8" t="s">
        <v>127</v>
      </c>
      <c r="C57" s="14" t="s">
        <v>30</v>
      </c>
      <c r="D57" s="18" t="s">
        <v>185</v>
      </c>
      <c r="E57" s="16" t="s">
        <v>142</v>
      </c>
      <c r="F57" s="18" t="s">
        <v>130</v>
      </c>
      <c r="G57" s="17">
        <v>4570</v>
      </c>
      <c r="H57" s="3" t="str">
        <f t="shared" si="1"/>
        <v>Match</v>
      </c>
      <c r="I57" s="13" t="s">
        <v>30</v>
      </c>
      <c r="J57" s="1">
        <v>972</v>
      </c>
      <c r="K57" s="1">
        <v>881</v>
      </c>
      <c r="L57" s="1">
        <v>0</v>
      </c>
      <c r="M57" s="1">
        <v>0</v>
      </c>
      <c r="N57" s="1">
        <v>2</v>
      </c>
      <c r="O57" s="1">
        <v>89</v>
      </c>
    </row>
    <row r="58" spans="1:15" ht="46.5" x14ac:dyDescent="0.35">
      <c r="A58" s="3">
        <v>57</v>
      </c>
      <c r="B58" s="4" t="s">
        <v>154</v>
      </c>
      <c r="C58" s="9" t="s">
        <v>71</v>
      </c>
      <c r="D58" s="16" t="s">
        <v>177</v>
      </c>
      <c r="E58" s="16" t="s">
        <v>156</v>
      </c>
      <c r="F58" s="16" t="s">
        <v>157</v>
      </c>
      <c r="G58" s="17">
        <v>325</v>
      </c>
      <c r="H58" s="3" t="str">
        <f t="shared" si="1"/>
        <v>Match</v>
      </c>
      <c r="I58" s="13" t="s">
        <v>71</v>
      </c>
      <c r="J58" s="1">
        <v>293</v>
      </c>
      <c r="K58" s="1">
        <v>4</v>
      </c>
      <c r="L58" s="1">
        <v>0</v>
      </c>
      <c r="M58" s="1">
        <v>0</v>
      </c>
      <c r="N58" s="1">
        <v>289</v>
      </c>
      <c r="O58" s="1">
        <v>0</v>
      </c>
    </row>
    <row r="59" spans="1:15" ht="46.5" x14ac:dyDescent="0.35">
      <c r="A59" s="3">
        <v>58</v>
      </c>
      <c r="B59" s="5" t="s">
        <v>150</v>
      </c>
      <c r="C59" s="9" t="s">
        <v>55</v>
      </c>
      <c r="D59" s="19" t="s">
        <v>186</v>
      </c>
      <c r="E59" s="20" t="s">
        <v>152</v>
      </c>
      <c r="F59" s="19" t="s">
        <v>153</v>
      </c>
      <c r="G59" s="17">
        <v>868</v>
      </c>
      <c r="H59" s="3" t="str">
        <f t="shared" si="1"/>
        <v>Match</v>
      </c>
      <c r="I59" s="12" t="s">
        <v>55</v>
      </c>
      <c r="J59" s="2">
        <v>621</v>
      </c>
      <c r="K59" s="2">
        <v>621</v>
      </c>
      <c r="L59" s="2">
        <v>0</v>
      </c>
      <c r="M59" s="2">
        <v>0</v>
      </c>
      <c r="N59" s="2">
        <v>0</v>
      </c>
      <c r="O59" s="2">
        <v>0</v>
      </c>
    </row>
    <row r="60" spans="1:15" ht="46.5" x14ac:dyDescent="0.35">
      <c r="A60" s="3">
        <v>59</v>
      </c>
      <c r="B60" s="4" t="s">
        <v>135</v>
      </c>
      <c r="C60" s="9" t="s">
        <v>6</v>
      </c>
      <c r="D60" s="16" t="s">
        <v>212</v>
      </c>
      <c r="E60" s="16" t="s">
        <v>147</v>
      </c>
      <c r="F60" s="16" t="s">
        <v>138</v>
      </c>
      <c r="G60" s="17">
        <v>4052</v>
      </c>
      <c r="H60" s="3" t="str">
        <f t="shared" si="1"/>
        <v>Match</v>
      </c>
      <c r="I60" s="12" t="s">
        <v>6</v>
      </c>
      <c r="J60" s="2">
        <v>1144</v>
      </c>
      <c r="K60" s="2">
        <v>819</v>
      </c>
      <c r="L60" s="2">
        <v>0</v>
      </c>
      <c r="M60" s="2">
        <v>0</v>
      </c>
      <c r="N60" s="2">
        <v>325</v>
      </c>
      <c r="O60" s="2">
        <v>0</v>
      </c>
    </row>
    <row r="61" spans="1:15" ht="46.5" x14ac:dyDescent="0.35">
      <c r="A61" s="3">
        <v>60</v>
      </c>
      <c r="B61" s="5" t="s">
        <v>150</v>
      </c>
      <c r="C61" s="9" t="s">
        <v>56</v>
      </c>
      <c r="D61" s="19" t="s">
        <v>151</v>
      </c>
      <c r="E61" s="20" t="s">
        <v>152</v>
      </c>
      <c r="F61" s="19" t="s">
        <v>153</v>
      </c>
      <c r="G61" s="17">
        <v>714</v>
      </c>
      <c r="H61" s="3" t="str">
        <f t="shared" si="1"/>
        <v>Match</v>
      </c>
      <c r="I61" s="13" t="s">
        <v>56</v>
      </c>
      <c r="J61" s="1">
        <v>718</v>
      </c>
      <c r="K61" s="1">
        <v>436</v>
      </c>
      <c r="L61" s="1">
        <v>9</v>
      </c>
      <c r="M61" s="1">
        <v>0</v>
      </c>
      <c r="N61" s="1">
        <v>42</v>
      </c>
      <c r="O61" s="1">
        <v>231</v>
      </c>
    </row>
    <row r="62" spans="1:15" ht="31" x14ac:dyDescent="0.35">
      <c r="A62" s="3">
        <v>61</v>
      </c>
      <c r="B62" s="4" t="s">
        <v>127</v>
      </c>
      <c r="C62" s="9" t="s">
        <v>31</v>
      </c>
      <c r="D62" s="18" t="s">
        <v>158</v>
      </c>
      <c r="E62" s="18" t="s">
        <v>162</v>
      </c>
      <c r="F62" s="18" t="s">
        <v>130</v>
      </c>
      <c r="G62" s="17">
        <v>427</v>
      </c>
      <c r="H62" s="3" t="str">
        <f t="shared" si="1"/>
        <v>Match</v>
      </c>
      <c r="I62" s="12" t="s">
        <v>31</v>
      </c>
      <c r="J62" s="2">
        <v>497</v>
      </c>
      <c r="K62" s="2">
        <v>0</v>
      </c>
      <c r="L62" s="2">
        <v>0</v>
      </c>
      <c r="M62" s="2">
        <v>0</v>
      </c>
      <c r="N62" s="2">
        <v>0</v>
      </c>
      <c r="O62" s="2">
        <v>497</v>
      </c>
    </row>
    <row r="63" spans="1:15" ht="46.5" x14ac:dyDescent="0.35">
      <c r="A63" s="3">
        <v>62</v>
      </c>
      <c r="B63" s="4" t="s">
        <v>127</v>
      </c>
      <c r="C63" s="9" t="s">
        <v>32</v>
      </c>
      <c r="D63" s="18" t="s">
        <v>167</v>
      </c>
      <c r="E63" s="18" t="s">
        <v>160</v>
      </c>
      <c r="F63" s="18" t="s">
        <v>130</v>
      </c>
      <c r="G63" s="17">
        <v>973</v>
      </c>
      <c r="H63" s="3" t="str">
        <f t="shared" si="1"/>
        <v>Match</v>
      </c>
      <c r="I63" s="13" t="s">
        <v>32</v>
      </c>
      <c r="J63" s="1">
        <v>258</v>
      </c>
      <c r="K63" s="1">
        <v>0</v>
      </c>
      <c r="L63" s="1">
        <v>0</v>
      </c>
      <c r="M63" s="1">
        <v>0</v>
      </c>
      <c r="N63" s="1">
        <v>44</v>
      </c>
      <c r="O63" s="1">
        <v>214</v>
      </c>
    </row>
    <row r="64" spans="1:15" ht="31" x14ac:dyDescent="0.35">
      <c r="A64" s="3">
        <v>63</v>
      </c>
      <c r="B64" s="4" t="s">
        <v>131</v>
      </c>
      <c r="C64" s="9" t="s">
        <v>115</v>
      </c>
      <c r="D64" s="16" t="s">
        <v>159</v>
      </c>
      <c r="E64" s="16" t="s">
        <v>133</v>
      </c>
      <c r="F64" s="16" t="s">
        <v>134</v>
      </c>
      <c r="G64" s="17">
        <v>325</v>
      </c>
      <c r="H64" s="3" t="str">
        <f t="shared" si="1"/>
        <v>Match</v>
      </c>
      <c r="I64" s="13" t="s">
        <v>115</v>
      </c>
      <c r="J64" s="1">
        <v>325</v>
      </c>
      <c r="K64" s="1">
        <v>0</v>
      </c>
      <c r="L64" s="1">
        <v>0</v>
      </c>
      <c r="M64" s="1">
        <v>0</v>
      </c>
      <c r="N64" s="1">
        <v>0</v>
      </c>
      <c r="O64" s="1">
        <v>325</v>
      </c>
    </row>
    <row r="65" spans="1:15" ht="31" x14ac:dyDescent="0.35">
      <c r="A65" s="3">
        <v>64</v>
      </c>
      <c r="B65" s="4" t="s">
        <v>127</v>
      </c>
      <c r="C65" s="9" t="s">
        <v>33</v>
      </c>
      <c r="D65" s="18" t="s">
        <v>163</v>
      </c>
      <c r="E65" s="18" t="s">
        <v>164</v>
      </c>
      <c r="F65" s="18" t="s">
        <v>130</v>
      </c>
      <c r="G65" s="17">
        <v>1296</v>
      </c>
      <c r="H65" s="3" t="str">
        <f t="shared" si="1"/>
        <v>Match</v>
      </c>
      <c r="I65" s="12" t="s">
        <v>33</v>
      </c>
      <c r="J65" s="2">
        <v>5</v>
      </c>
      <c r="K65" s="2">
        <v>0</v>
      </c>
      <c r="L65" s="2">
        <v>0</v>
      </c>
      <c r="M65" s="2">
        <v>0</v>
      </c>
      <c r="N65" s="2">
        <v>0</v>
      </c>
      <c r="O65" s="2">
        <v>5</v>
      </c>
    </row>
    <row r="66" spans="1:15" ht="46.5" x14ac:dyDescent="0.35">
      <c r="A66" s="3">
        <v>65</v>
      </c>
      <c r="B66" s="5" t="s">
        <v>150</v>
      </c>
      <c r="C66" s="9" t="s">
        <v>57</v>
      </c>
      <c r="D66" s="19" t="s">
        <v>186</v>
      </c>
      <c r="E66" s="20" t="s">
        <v>152</v>
      </c>
      <c r="F66" s="19" t="s">
        <v>153</v>
      </c>
      <c r="G66" s="17">
        <v>227</v>
      </c>
      <c r="H66" s="3" t="str">
        <f t="shared" ref="H66:H97" si="2">IF(C66=I66,"Match","Different")</f>
        <v>Match</v>
      </c>
      <c r="I66" s="12" t="s">
        <v>57</v>
      </c>
      <c r="J66" s="2">
        <v>227</v>
      </c>
      <c r="K66" s="2">
        <v>0</v>
      </c>
      <c r="L66" s="2">
        <v>0</v>
      </c>
      <c r="M66" s="2">
        <v>0</v>
      </c>
      <c r="N66" s="2">
        <v>0</v>
      </c>
      <c r="O66" s="2">
        <v>227</v>
      </c>
    </row>
    <row r="67" spans="1:15" ht="46.5" x14ac:dyDescent="0.35">
      <c r="A67" s="3">
        <v>66</v>
      </c>
      <c r="B67" s="4" t="s">
        <v>154</v>
      </c>
      <c r="C67" s="9" t="s">
        <v>72</v>
      </c>
      <c r="D67" s="16" t="s">
        <v>165</v>
      </c>
      <c r="E67" s="21" t="s">
        <v>166</v>
      </c>
      <c r="F67" s="16" t="s">
        <v>157</v>
      </c>
      <c r="G67" s="17">
        <v>2665</v>
      </c>
      <c r="H67" s="3" t="str">
        <f t="shared" si="2"/>
        <v>Match</v>
      </c>
      <c r="I67" s="12" t="s">
        <v>72</v>
      </c>
      <c r="J67" s="2">
        <v>841</v>
      </c>
      <c r="K67" s="2">
        <v>841</v>
      </c>
      <c r="L67" s="2">
        <v>0</v>
      </c>
      <c r="M67" s="2">
        <v>0</v>
      </c>
      <c r="N67" s="2">
        <v>0</v>
      </c>
      <c r="O67" s="2">
        <v>0</v>
      </c>
    </row>
    <row r="68" spans="1:15" ht="31" x14ac:dyDescent="0.35">
      <c r="A68" s="3">
        <v>67</v>
      </c>
      <c r="B68" s="4" t="s">
        <v>127</v>
      </c>
      <c r="C68" s="9" t="s">
        <v>34</v>
      </c>
      <c r="D68" s="18" t="s">
        <v>171</v>
      </c>
      <c r="E68" s="18" t="s">
        <v>164</v>
      </c>
      <c r="F68" s="18" t="s">
        <v>130</v>
      </c>
      <c r="G68" s="17">
        <v>1189</v>
      </c>
      <c r="H68" s="3" t="str">
        <f t="shared" si="2"/>
        <v>Match</v>
      </c>
      <c r="I68" s="13" t="s">
        <v>34</v>
      </c>
      <c r="J68" s="1">
        <v>245</v>
      </c>
      <c r="K68" s="1">
        <v>0</v>
      </c>
      <c r="L68" s="1">
        <v>0</v>
      </c>
      <c r="M68" s="1">
        <v>0</v>
      </c>
      <c r="N68" s="1">
        <v>186</v>
      </c>
      <c r="O68" s="1">
        <v>59</v>
      </c>
    </row>
    <row r="69" spans="1:15" ht="31" x14ac:dyDescent="0.35">
      <c r="A69" s="3">
        <v>68</v>
      </c>
      <c r="B69" s="4" t="s">
        <v>127</v>
      </c>
      <c r="C69" s="9" t="s">
        <v>35</v>
      </c>
      <c r="D69" s="18" t="s">
        <v>148</v>
      </c>
      <c r="E69" s="18" t="s">
        <v>129</v>
      </c>
      <c r="F69" s="18" t="s">
        <v>130</v>
      </c>
      <c r="G69" s="17">
        <v>142</v>
      </c>
      <c r="H69" s="3" t="str">
        <f t="shared" si="2"/>
        <v>Match</v>
      </c>
      <c r="I69" s="12" t="s">
        <v>35</v>
      </c>
      <c r="J69" s="2">
        <v>142</v>
      </c>
      <c r="K69" s="2">
        <v>0</v>
      </c>
      <c r="L69" s="2">
        <v>0</v>
      </c>
      <c r="M69" s="2">
        <v>0</v>
      </c>
      <c r="N69" s="2">
        <v>0</v>
      </c>
      <c r="O69" s="2">
        <v>142</v>
      </c>
    </row>
    <row r="70" spans="1:15" ht="31" x14ac:dyDescent="0.35">
      <c r="A70" s="3">
        <v>69</v>
      </c>
      <c r="B70" s="4" t="s">
        <v>127</v>
      </c>
      <c r="C70" s="9" t="s">
        <v>36</v>
      </c>
      <c r="D70" s="18" t="s">
        <v>167</v>
      </c>
      <c r="E70" s="18" t="s">
        <v>129</v>
      </c>
      <c r="F70" s="18" t="s">
        <v>130</v>
      </c>
      <c r="G70" s="17">
        <v>1500</v>
      </c>
      <c r="H70" s="3" t="str">
        <f t="shared" si="2"/>
        <v>Match</v>
      </c>
      <c r="I70" s="13" t="s">
        <v>36</v>
      </c>
      <c r="J70" s="1">
        <v>712</v>
      </c>
      <c r="K70" s="1">
        <v>1</v>
      </c>
      <c r="L70" s="1">
        <v>0</v>
      </c>
      <c r="M70" s="1">
        <v>0</v>
      </c>
      <c r="N70" s="1">
        <v>373</v>
      </c>
      <c r="O70" s="1">
        <v>338</v>
      </c>
    </row>
    <row r="71" spans="1:15" ht="31" x14ac:dyDescent="0.35">
      <c r="A71" s="3">
        <v>70</v>
      </c>
      <c r="B71" s="4" t="s">
        <v>127</v>
      </c>
      <c r="C71" s="9" t="s">
        <v>37</v>
      </c>
      <c r="D71" s="18" t="s">
        <v>163</v>
      </c>
      <c r="E71" s="18" t="s">
        <v>164</v>
      </c>
      <c r="F71" s="18" t="s">
        <v>130</v>
      </c>
      <c r="G71" s="17">
        <v>1189</v>
      </c>
      <c r="H71" s="3" t="str">
        <f t="shared" si="2"/>
        <v>Match</v>
      </c>
      <c r="I71" s="12" t="s">
        <v>37</v>
      </c>
      <c r="J71" s="2">
        <v>410</v>
      </c>
      <c r="K71" s="2">
        <v>0</v>
      </c>
      <c r="L71" s="2">
        <v>1</v>
      </c>
      <c r="M71" s="2">
        <v>0</v>
      </c>
      <c r="N71" s="2">
        <v>293</v>
      </c>
      <c r="O71" s="2">
        <v>116</v>
      </c>
    </row>
    <row r="72" spans="1:15" ht="31" x14ac:dyDescent="0.35">
      <c r="A72" s="3">
        <v>71</v>
      </c>
      <c r="B72" s="4" t="s">
        <v>127</v>
      </c>
      <c r="C72" s="9" t="s">
        <v>38</v>
      </c>
      <c r="D72" s="18" t="s">
        <v>163</v>
      </c>
      <c r="E72" s="18" t="s">
        <v>164</v>
      </c>
      <c r="F72" s="18" t="s">
        <v>130</v>
      </c>
      <c r="G72" s="17">
        <v>728</v>
      </c>
      <c r="H72" s="3" t="str">
        <f t="shared" si="2"/>
        <v>Match</v>
      </c>
      <c r="I72" s="13" t="s">
        <v>38</v>
      </c>
      <c r="J72" s="1">
        <v>1</v>
      </c>
      <c r="K72" s="1">
        <v>0</v>
      </c>
      <c r="L72" s="1">
        <v>0</v>
      </c>
      <c r="M72" s="1">
        <v>0</v>
      </c>
      <c r="N72" s="1">
        <v>0</v>
      </c>
      <c r="O72" s="1">
        <v>1</v>
      </c>
    </row>
    <row r="73" spans="1:15" ht="46.5" x14ac:dyDescent="0.35">
      <c r="A73" s="3">
        <v>72</v>
      </c>
      <c r="B73" s="4" t="s">
        <v>154</v>
      </c>
      <c r="C73" s="9" t="s">
        <v>73</v>
      </c>
      <c r="D73" s="16" t="s">
        <v>183</v>
      </c>
      <c r="E73" s="16" t="s">
        <v>125</v>
      </c>
      <c r="F73" s="16" t="s">
        <v>157</v>
      </c>
      <c r="G73" s="17">
        <v>745</v>
      </c>
      <c r="H73" s="3" t="str">
        <f t="shared" si="2"/>
        <v>Match</v>
      </c>
      <c r="I73" s="13" t="s">
        <v>73</v>
      </c>
      <c r="J73" s="1">
        <v>630</v>
      </c>
      <c r="K73" s="1">
        <v>595</v>
      </c>
      <c r="L73" s="1">
        <v>0</v>
      </c>
      <c r="M73" s="1">
        <v>8</v>
      </c>
      <c r="N73" s="1">
        <v>27</v>
      </c>
      <c r="O73" s="1">
        <v>0</v>
      </c>
    </row>
    <row r="74" spans="1:15" ht="46.5" x14ac:dyDescent="0.35">
      <c r="A74" s="3">
        <v>73</v>
      </c>
      <c r="B74" s="4" t="s">
        <v>135</v>
      </c>
      <c r="C74" s="9" t="s">
        <v>7</v>
      </c>
      <c r="D74" s="16" t="s">
        <v>187</v>
      </c>
      <c r="E74" s="16" t="s">
        <v>147</v>
      </c>
      <c r="F74" s="16" t="s">
        <v>138</v>
      </c>
      <c r="G74" s="17">
        <v>3547</v>
      </c>
      <c r="H74" s="3" t="str">
        <f t="shared" si="2"/>
        <v>Match</v>
      </c>
      <c r="I74" s="13" t="s">
        <v>7</v>
      </c>
      <c r="J74" s="1">
        <v>783</v>
      </c>
      <c r="K74" s="1">
        <v>689</v>
      </c>
      <c r="L74" s="1">
        <v>0</v>
      </c>
      <c r="M74" s="1">
        <v>0</v>
      </c>
      <c r="N74" s="1">
        <v>90</v>
      </c>
      <c r="O74" s="1">
        <v>4</v>
      </c>
    </row>
    <row r="75" spans="1:15" ht="31" x14ac:dyDescent="0.35">
      <c r="A75" s="3">
        <v>74</v>
      </c>
      <c r="B75" s="4" t="s">
        <v>131</v>
      </c>
      <c r="C75" s="9" t="s">
        <v>7</v>
      </c>
      <c r="D75" s="16" t="s">
        <v>132</v>
      </c>
      <c r="E75" s="16" t="s">
        <v>133</v>
      </c>
      <c r="F75" s="16" t="s">
        <v>134</v>
      </c>
      <c r="G75" s="17">
        <v>421</v>
      </c>
      <c r="H75" s="3" t="str">
        <f t="shared" si="2"/>
        <v>Match</v>
      </c>
      <c r="I75" s="12" t="s">
        <v>7</v>
      </c>
      <c r="J75" s="2">
        <v>421</v>
      </c>
      <c r="K75" s="2">
        <v>0</v>
      </c>
      <c r="L75" s="2">
        <v>0</v>
      </c>
      <c r="M75" s="2">
        <v>0</v>
      </c>
      <c r="N75" s="2">
        <v>388</v>
      </c>
      <c r="O75" s="2">
        <v>33</v>
      </c>
    </row>
    <row r="76" spans="1:15" ht="31" x14ac:dyDescent="0.35">
      <c r="A76" s="3">
        <v>75</v>
      </c>
      <c r="B76" s="5" t="s">
        <v>143</v>
      </c>
      <c r="C76" s="9" t="s">
        <v>91</v>
      </c>
      <c r="D76" s="19" t="s">
        <v>175</v>
      </c>
      <c r="E76" s="20" t="s">
        <v>179</v>
      </c>
      <c r="F76" s="19" t="s">
        <v>145</v>
      </c>
      <c r="G76" s="17">
        <v>204</v>
      </c>
      <c r="H76" s="3" t="str">
        <f t="shared" si="2"/>
        <v>Match</v>
      </c>
      <c r="I76" s="13" t="s">
        <v>91</v>
      </c>
      <c r="J76" s="1">
        <v>206</v>
      </c>
      <c r="K76" s="1">
        <v>0</v>
      </c>
      <c r="L76" s="1">
        <v>0</v>
      </c>
      <c r="M76" s="1">
        <v>0</v>
      </c>
      <c r="N76" s="1">
        <v>0</v>
      </c>
      <c r="O76" s="1">
        <v>206</v>
      </c>
    </row>
    <row r="77" spans="1:15" ht="46.5" x14ac:dyDescent="0.35">
      <c r="A77" s="3">
        <v>76</v>
      </c>
      <c r="B77" s="4" t="s">
        <v>135</v>
      </c>
      <c r="C77" s="9" t="s">
        <v>8</v>
      </c>
      <c r="D77" s="16" t="s">
        <v>188</v>
      </c>
      <c r="E77" s="16" t="s">
        <v>137</v>
      </c>
      <c r="F77" s="16" t="s">
        <v>138</v>
      </c>
      <c r="G77" s="17">
        <v>2922</v>
      </c>
      <c r="H77" s="3" t="str">
        <f t="shared" si="2"/>
        <v>Match</v>
      </c>
      <c r="I77" s="12" t="s">
        <v>8</v>
      </c>
      <c r="J77" s="2">
        <v>1275</v>
      </c>
      <c r="K77" s="2">
        <v>2</v>
      </c>
      <c r="L77" s="2">
        <v>3</v>
      </c>
      <c r="M77" s="2">
        <v>3</v>
      </c>
      <c r="N77" s="2">
        <v>1267</v>
      </c>
      <c r="O77" s="2">
        <v>0</v>
      </c>
    </row>
    <row r="78" spans="1:15" ht="31" x14ac:dyDescent="0.35">
      <c r="A78" s="3">
        <v>77</v>
      </c>
      <c r="B78" s="4" t="s">
        <v>127</v>
      </c>
      <c r="C78" s="9" t="s">
        <v>39</v>
      </c>
      <c r="D78" s="18" t="s">
        <v>167</v>
      </c>
      <c r="E78" s="18" t="s">
        <v>129</v>
      </c>
      <c r="F78" s="18" t="s">
        <v>130</v>
      </c>
      <c r="G78" s="17">
        <v>4254</v>
      </c>
      <c r="H78" s="3" t="str">
        <f t="shared" si="2"/>
        <v>Match</v>
      </c>
      <c r="I78" s="12" t="s">
        <v>39</v>
      </c>
      <c r="J78" s="2">
        <v>518</v>
      </c>
      <c r="K78" s="2">
        <v>0</v>
      </c>
      <c r="L78" s="2">
        <v>0</v>
      </c>
      <c r="M78" s="2">
        <v>0</v>
      </c>
      <c r="N78" s="2">
        <v>380</v>
      </c>
      <c r="O78" s="2">
        <v>138</v>
      </c>
    </row>
    <row r="79" spans="1:15" ht="31" x14ac:dyDescent="0.35">
      <c r="A79" s="3">
        <v>78</v>
      </c>
      <c r="B79" s="8" t="s">
        <v>131</v>
      </c>
      <c r="C79" s="9" t="s">
        <v>116</v>
      </c>
      <c r="D79" s="16" t="s">
        <v>159</v>
      </c>
      <c r="E79" s="16" t="s">
        <v>133</v>
      </c>
      <c r="F79" s="16" t="s">
        <v>134</v>
      </c>
      <c r="G79" s="17">
        <v>281</v>
      </c>
      <c r="H79" s="3" t="str">
        <f t="shared" si="2"/>
        <v>Match</v>
      </c>
      <c r="I79" s="13" t="s">
        <v>116</v>
      </c>
      <c r="J79" s="1">
        <v>281</v>
      </c>
      <c r="K79" s="1">
        <v>0</v>
      </c>
      <c r="L79" s="1">
        <v>0</v>
      </c>
      <c r="M79" s="1">
        <v>0</v>
      </c>
      <c r="N79" s="1">
        <v>0</v>
      </c>
      <c r="O79" s="1">
        <v>281</v>
      </c>
    </row>
    <row r="80" spans="1:15" ht="46.5" x14ac:dyDescent="0.35">
      <c r="A80" s="3">
        <v>79</v>
      </c>
      <c r="B80" s="5" t="s">
        <v>150</v>
      </c>
      <c r="C80" s="9" t="s">
        <v>58</v>
      </c>
      <c r="D80" s="19" t="s">
        <v>172</v>
      </c>
      <c r="E80" s="20" t="s">
        <v>152</v>
      </c>
      <c r="F80" s="19" t="s">
        <v>153</v>
      </c>
      <c r="G80" s="17">
        <v>1528</v>
      </c>
      <c r="H80" s="3" t="str">
        <f t="shared" si="2"/>
        <v>Match</v>
      </c>
      <c r="I80" s="13" t="s">
        <v>58</v>
      </c>
      <c r="J80" s="1">
        <v>581</v>
      </c>
      <c r="K80" s="1">
        <v>516</v>
      </c>
      <c r="L80" s="1">
        <v>0</v>
      </c>
      <c r="M80" s="1">
        <v>0</v>
      </c>
      <c r="N80" s="1">
        <v>0</v>
      </c>
      <c r="O80" s="1">
        <v>65</v>
      </c>
    </row>
    <row r="81" spans="1:15" ht="46.5" x14ac:dyDescent="0.35">
      <c r="A81" s="3">
        <v>80</v>
      </c>
      <c r="B81" s="5" t="s">
        <v>150</v>
      </c>
      <c r="C81" s="9" t="s">
        <v>59</v>
      </c>
      <c r="D81" s="19" t="s">
        <v>172</v>
      </c>
      <c r="E81" s="20" t="s">
        <v>152</v>
      </c>
      <c r="F81" s="19" t="s">
        <v>153</v>
      </c>
      <c r="G81" s="17">
        <v>550</v>
      </c>
      <c r="H81" s="3" t="str">
        <f t="shared" si="2"/>
        <v>Match</v>
      </c>
      <c r="I81" s="12" t="s">
        <v>59</v>
      </c>
      <c r="J81" s="2">
        <v>565</v>
      </c>
      <c r="K81" s="2">
        <v>0</v>
      </c>
      <c r="L81" s="2">
        <v>0</v>
      </c>
      <c r="M81" s="2">
        <v>0</v>
      </c>
      <c r="N81" s="2">
        <v>0</v>
      </c>
      <c r="O81" s="2">
        <v>565</v>
      </c>
    </row>
    <row r="82" spans="1:15" ht="31" x14ac:dyDescent="0.35">
      <c r="A82" s="3">
        <v>81</v>
      </c>
      <c r="B82" s="4" t="s">
        <v>127</v>
      </c>
      <c r="C82" s="9" t="s">
        <v>40</v>
      </c>
      <c r="D82" s="18" t="s">
        <v>161</v>
      </c>
      <c r="E82" s="18" t="s">
        <v>162</v>
      </c>
      <c r="F82" s="18" t="s">
        <v>130</v>
      </c>
      <c r="G82" s="17">
        <v>1767</v>
      </c>
      <c r="H82" s="3" t="str">
        <f t="shared" si="2"/>
        <v>Match</v>
      </c>
      <c r="I82" s="13" t="s">
        <v>40</v>
      </c>
      <c r="J82" s="1">
        <v>307</v>
      </c>
      <c r="K82" s="1">
        <v>0</v>
      </c>
      <c r="L82" s="1">
        <v>0</v>
      </c>
      <c r="M82" s="1">
        <v>0</v>
      </c>
      <c r="N82" s="1">
        <v>296</v>
      </c>
      <c r="O82" s="1">
        <v>11</v>
      </c>
    </row>
    <row r="83" spans="1:15" ht="46.5" x14ac:dyDescent="0.35">
      <c r="A83" s="3">
        <v>82</v>
      </c>
      <c r="B83" s="4" t="s">
        <v>154</v>
      </c>
      <c r="C83" s="9" t="s">
        <v>74</v>
      </c>
      <c r="D83" s="16" t="s">
        <v>176</v>
      </c>
      <c r="E83" s="16" t="s">
        <v>156</v>
      </c>
      <c r="F83" s="16" t="s">
        <v>157</v>
      </c>
      <c r="G83" s="17">
        <v>4700</v>
      </c>
      <c r="H83" s="3" t="str">
        <f t="shared" si="2"/>
        <v>Match</v>
      </c>
      <c r="I83" s="12" t="s">
        <v>74</v>
      </c>
      <c r="J83" s="2">
        <v>1503</v>
      </c>
      <c r="K83" s="2">
        <v>659</v>
      </c>
      <c r="L83" s="2">
        <v>0</v>
      </c>
      <c r="M83" s="2">
        <v>0</v>
      </c>
      <c r="N83" s="2">
        <v>844</v>
      </c>
      <c r="O83" s="2">
        <v>0</v>
      </c>
    </row>
    <row r="84" spans="1:15" ht="46.5" x14ac:dyDescent="0.35">
      <c r="A84" s="3">
        <v>83</v>
      </c>
      <c r="B84" s="5" t="s">
        <v>143</v>
      </c>
      <c r="C84" s="9" t="s">
        <v>92</v>
      </c>
      <c r="D84" s="19" t="s">
        <v>173</v>
      </c>
      <c r="E84" s="20" t="s">
        <v>174</v>
      </c>
      <c r="F84" s="19" t="s">
        <v>145</v>
      </c>
      <c r="G84" s="17">
        <v>230</v>
      </c>
      <c r="H84" s="3" t="str">
        <f t="shared" si="2"/>
        <v>Match</v>
      </c>
      <c r="I84" s="12" t="s">
        <v>92</v>
      </c>
      <c r="J84" s="2">
        <v>230</v>
      </c>
      <c r="K84" s="2">
        <v>0</v>
      </c>
      <c r="L84" s="2">
        <v>0</v>
      </c>
      <c r="M84" s="2">
        <v>0</v>
      </c>
      <c r="N84" s="2">
        <v>0</v>
      </c>
      <c r="O84" s="2">
        <v>230</v>
      </c>
    </row>
    <row r="85" spans="1:15" ht="31" x14ac:dyDescent="0.35">
      <c r="A85" s="3">
        <v>84</v>
      </c>
      <c r="B85" s="4" t="s">
        <v>127</v>
      </c>
      <c r="C85" s="9" t="s">
        <v>41</v>
      </c>
      <c r="D85" s="18" t="s">
        <v>158</v>
      </c>
      <c r="E85" s="18" t="s">
        <v>162</v>
      </c>
      <c r="F85" s="18" t="s">
        <v>130</v>
      </c>
      <c r="G85" s="17">
        <v>832</v>
      </c>
      <c r="H85" s="3" t="str">
        <f t="shared" si="2"/>
        <v>Match</v>
      </c>
      <c r="I85" s="12" t="s">
        <v>41</v>
      </c>
      <c r="J85" s="2">
        <v>308</v>
      </c>
      <c r="K85" s="2">
        <v>0</v>
      </c>
      <c r="L85" s="2">
        <v>0</v>
      </c>
      <c r="M85" s="2">
        <v>0</v>
      </c>
      <c r="N85" s="2">
        <v>299</v>
      </c>
      <c r="O85" s="2">
        <v>9</v>
      </c>
    </row>
    <row r="86" spans="1:15" ht="31" x14ac:dyDescent="0.35">
      <c r="A86" s="3">
        <v>85</v>
      </c>
      <c r="B86" s="4" t="s">
        <v>131</v>
      </c>
      <c r="C86" s="9" t="s">
        <v>117</v>
      </c>
      <c r="D86" s="16" t="s">
        <v>149</v>
      </c>
      <c r="E86" s="16" t="s">
        <v>133</v>
      </c>
      <c r="F86" s="16" t="s">
        <v>134</v>
      </c>
      <c r="G86" s="17">
        <v>517</v>
      </c>
      <c r="H86" s="3" t="str">
        <f t="shared" si="2"/>
        <v>Match</v>
      </c>
      <c r="I86" s="12" t="s">
        <v>117</v>
      </c>
      <c r="J86" s="2">
        <v>53</v>
      </c>
      <c r="K86" s="2">
        <v>16</v>
      </c>
      <c r="L86" s="2">
        <v>0</v>
      </c>
      <c r="M86" s="2">
        <v>0</v>
      </c>
      <c r="N86" s="2">
        <v>37</v>
      </c>
      <c r="O86" s="2">
        <v>0</v>
      </c>
    </row>
    <row r="87" spans="1:15" ht="15.5" x14ac:dyDescent="0.35">
      <c r="A87" s="3">
        <v>86</v>
      </c>
      <c r="B87" s="4" t="s">
        <v>123</v>
      </c>
      <c r="C87" s="9" t="s">
        <v>2</v>
      </c>
      <c r="D87" s="16" t="s">
        <v>211</v>
      </c>
      <c r="E87" s="16" t="s">
        <v>189</v>
      </c>
      <c r="F87" s="16" t="s">
        <v>126</v>
      </c>
      <c r="G87" s="17">
        <v>3159</v>
      </c>
      <c r="H87" s="3" t="str">
        <f t="shared" si="2"/>
        <v>Match</v>
      </c>
      <c r="I87" s="12" t="s">
        <v>2</v>
      </c>
      <c r="J87" s="2">
        <v>1530</v>
      </c>
      <c r="K87" s="2">
        <v>1486</v>
      </c>
      <c r="L87" s="2">
        <v>0</v>
      </c>
      <c r="M87" s="2">
        <v>0</v>
      </c>
      <c r="N87" s="2">
        <v>24</v>
      </c>
      <c r="O87" s="2">
        <v>20</v>
      </c>
    </row>
    <row r="88" spans="1:15" ht="46.5" x14ac:dyDescent="0.35">
      <c r="A88" s="3">
        <v>87</v>
      </c>
      <c r="B88" s="5" t="s">
        <v>143</v>
      </c>
      <c r="C88" s="9" t="s">
        <v>93</v>
      </c>
      <c r="D88" s="19" t="s">
        <v>190</v>
      </c>
      <c r="E88" s="20" t="s">
        <v>174</v>
      </c>
      <c r="F88" s="19" t="s">
        <v>145</v>
      </c>
      <c r="G88" s="17">
        <v>1109</v>
      </c>
      <c r="H88" s="3" t="str">
        <f t="shared" si="2"/>
        <v>Match</v>
      </c>
      <c r="I88" s="13" t="s">
        <v>93</v>
      </c>
      <c r="J88" s="1">
        <v>543</v>
      </c>
      <c r="K88" s="1">
        <v>56</v>
      </c>
      <c r="L88" s="1">
        <v>33</v>
      </c>
      <c r="M88" s="1">
        <v>0</v>
      </c>
      <c r="N88" s="1">
        <v>252</v>
      </c>
      <c r="O88" s="1">
        <v>202</v>
      </c>
    </row>
    <row r="89" spans="1:15" ht="31" x14ac:dyDescent="0.35">
      <c r="A89" s="3">
        <v>88</v>
      </c>
      <c r="B89" s="5" t="s">
        <v>143</v>
      </c>
      <c r="C89" s="9" t="s">
        <v>94</v>
      </c>
      <c r="D89" s="19" t="s">
        <v>175</v>
      </c>
      <c r="E89" s="20" t="s">
        <v>179</v>
      </c>
      <c r="F89" s="19" t="s">
        <v>145</v>
      </c>
      <c r="G89" s="17">
        <v>1145</v>
      </c>
      <c r="H89" s="3" t="str">
        <f t="shared" si="2"/>
        <v>Match</v>
      </c>
      <c r="I89" s="12" t="s">
        <v>94</v>
      </c>
      <c r="J89" s="2">
        <v>525</v>
      </c>
      <c r="K89" s="2">
        <v>115</v>
      </c>
      <c r="L89" s="2">
        <v>5</v>
      </c>
      <c r="M89" s="2">
        <v>2</v>
      </c>
      <c r="N89" s="2">
        <v>372</v>
      </c>
      <c r="O89" s="2">
        <v>31</v>
      </c>
    </row>
    <row r="90" spans="1:15" ht="31" x14ac:dyDescent="0.35">
      <c r="A90" s="3">
        <v>89</v>
      </c>
      <c r="B90" s="4" t="s">
        <v>127</v>
      </c>
      <c r="C90" s="9" t="s">
        <v>42</v>
      </c>
      <c r="D90" s="18" t="s">
        <v>209</v>
      </c>
      <c r="E90" s="18" t="s">
        <v>129</v>
      </c>
      <c r="F90" s="18" t="s">
        <v>130</v>
      </c>
      <c r="G90" s="17">
        <v>3446</v>
      </c>
      <c r="H90" s="3" t="str">
        <f t="shared" si="2"/>
        <v>Match</v>
      </c>
      <c r="I90" s="13" t="s">
        <v>42</v>
      </c>
      <c r="J90" s="1">
        <v>1482</v>
      </c>
      <c r="K90" s="1">
        <v>0</v>
      </c>
      <c r="L90" s="1">
        <v>0</v>
      </c>
      <c r="M90" s="1">
        <v>0</v>
      </c>
      <c r="N90" s="1">
        <v>1470</v>
      </c>
      <c r="O90" s="1">
        <v>12</v>
      </c>
    </row>
    <row r="91" spans="1:15" ht="46.5" x14ac:dyDescent="0.35">
      <c r="A91" s="3">
        <v>90</v>
      </c>
      <c r="B91" s="4" t="s">
        <v>127</v>
      </c>
      <c r="C91" s="9" t="s">
        <v>43</v>
      </c>
      <c r="D91" s="18" t="s">
        <v>185</v>
      </c>
      <c r="E91" s="18" t="s">
        <v>160</v>
      </c>
      <c r="F91" s="18" t="s">
        <v>130</v>
      </c>
      <c r="G91" s="17">
        <v>1879</v>
      </c>
      <c r="H91" s="3" t="str">
        <f t="shared" si="2"/>
        <v>Match</v>
      </c>
      <c r="I91" s="12" t="s">
        <v>43</v>
      </c>
      <c r="J91" s="2">
        <v>668</v>
      </c>
      <c r="K91" s="2">
        <v>22</v>
      </c>
      <c r="L91" s="2">
        <v>0</v>
      </c>
      <c r="M91" s="2">
        <v>0</v>
      </c>
      <c r="N91" s="2">
        <v>424</v>
      </c>
      <c r="O91" s="2">
        <v>222</v>
      </c>
    </row>
    <row r="92" spans="1:15" ht="31" x14ac:dyDescent="0.35">
      <c r="A92" s="3">
        <v>91</v>
      </c>
      <c r="B92" s="4" t="s">
        <v>127</v>
      </c>
      <c r="C92" s="9" t="s">
        <v>44</v>
      </c>
      <c r="D92" s="18" t="s">
        <v>158</v>
      </c>
      <c r="E92" s="18" t="s">
        <v>162</v>
      </c>
      <c r="F92" s="18" t="s">
        <v>130</v>
      </c>
      <c r="G92" s="17">
        <v>627</v>
      </c>
      <c r="H92" s="3" t="str">
        <f t="shared" si="2"/>
        <v>Match</v>
      </c>
      <c r="I92" s="13" t="s">
        <v>44</v>
      </c>
      <c r="J92" s="1">
        <v>607</v>
      </c>
      <c r="K92" s="1">
        <v>0</v>
      </c>
      <c r="L92" s="1">
        <v>0</v>
      </c>
      <c r="M92" s="1">
        <v>0</v>
      </c>
      <c r="N92" s="1">
        <v>26</v>
      </c>
      <c r="O92" s="1">
        <v>581</v>
      </c>
    </row>
    <row r="93" spans="1:15" ht="31" x14ac:dyDescent="0.35">
      <c r="A93" s="3">
        <v>92</v>
      </c>
      <c r="B93" s="4" t="s">
        <v>154</v>
      </c>
      <c r="C93" s="9" t="s">
        <v>75</v>
      </c>
      <c r="D93" s="16" t="s">
        <v>155</v>
      </c>
      <c r="E93" s="16" t="s">
        <v>182</v>
      </c>
      <c r="F93" s="16" t="s">
        <v>157</v>
      </c>
      <c r="G93" s="17">
        <v>1514</v>
      </c>
      <c r="H93" s="3" t="str">
        <f t="shared" si="2"/>
        <v>Match</v>
      </c>
      <c r="I93" s="13" t="s">
        <v>75</v>
      </c>
      <c r="J93" s="1">
        <v>589</v>
      </c>
      <c r="K93" s="1">
        <v>0</v>
      </c>
      <c r="L93" s="1">
        <v>0</v>
      </c>
      <c r="M93" s="1">
        <v>0</v>
      </c>
      <c r="N93" s="1">
        <v>575</v>
      </c>
      <c r="O93" s="1">
        <v>14</v>
      </c>
    </row>
    <row r="94" spans="1:15" ht="31" x14ac:dyDescent="0.35">
      <c r="A94" s="3">
        <v>93</v>
      </c>
      <c r="B94" s="4" t="s">
        <v>131</v>
      </c>
      <c r="C94" s="9" t="s">
        <v>118</v>
      </c>
      <c r="D94" s="16" t="s">
        <v>159</v>
      </c>
      <c r="E94" s="16" t="s">
        <v>133</v>
      </c>
      <c r="F94" s="16" t="s">
        <v>134</v>
      </c>
      <c r="G94" s="17">
        <v>166</v>
      </c>
      <c r="H94" s="3" t="str">
        <f t="shared" si="2"/>
        <v>Match</v>
      </c>
      <c r="I94" s="13" t="s">
        <v>118</v>
      </c>
      <c r="J94" s="1">
        <v>166</v>
      </c>
      <c r="K94" s="1">
        <v>0</v>
      </c>
      <c r="L94" s="1">
        <v>0</v>
      </c>
      <c r="M94" s="1">
        <v>0</v>
      </c>
      <c r="N94" s="1">
        <v>0</v>
      </c>
      <c r="O94" s="1">
        <v>166</v>
      </c>
    </row>
    <row r="95" spans="1:15" ht="46.5" x14ac:dyDescent="0.35">
      <c r="A95" s="3">
        <v>94</v>
      </c>
      <c r="B95" s="4" t="s">
        <v>127</v>
      </c>
      <c r="C95" s="9" t="s">
        <v>45</v>
      </c>
      <c r="D95" s="18" t="s">
        <v>191</v>
      </c>
      <c r="E95" s="18" t="s">
        <v>160</v>
      </c>
      <c r="F95" s="18" t="s">
        <v>130</v>
      </c>
      <c r="G95" s="17">
        <v>4884</v>
      </c>
      <c r="H95" s="3" t="str">
        <f t="shared" si="2"/>
        <v>Match</v>
      </c>
      <c r="I95" s="12" t="s">
        <v>45</v>
      </c>
      <c r="J95" s="2">
        <v>766</v>
      </c>
      <c r="K95" s="2">
        <v>1</v>
      </c>
      <c r="L95" s="2">
        <v>0</v>
      </c>
      <c r="M95" s="2">
        <v>0</v>
      </c>
      <c r="N95" s="2">
        <v>23</v>
      </c>
      <c r="O95" s="2">
        <v>742</v>
      </c>
    </row>
    <row r="96" spans="1:15" ht="46.5" x14ac:dyDescent="0.35">
      <c r="A96" s="3">
        <v>95</v>
      </c>
      <c r="B96" s="4" t="s">
        <v>135</v>
      </c>
      <c r="C96" s="9" t="s">
        <v>9</v>
      </c>
      <c r="D96" s="16" t="s">
        <v>192</v>
      </c>
      <c r="E96" s="16" t="s">
        <v>137</v>
      </c>
      <c r="F96" s="16" t="s">
        <v>138</v>
      </c>
      <c r="G96" s="17">
        <v>3558</v>
      </c>
      <c r="H96" s="3" t="str">
        <f t="shared" si="2"/>
        <v>Match</v>
      </c>
      <c r="I96" s="13" t="s">
        <v>9</v>
      </c>
      <c r="J96" s="1">
        <v>1278</v>
      </c>
      <c r="K96" s="1">
        <v>7</v>
      </c>
      <c r="L96" s="1">
        <v>4</v>
      </c>
      <c r="M96" s="1">
        <v>2</v>
      </c>
      <c r="N96" s="1">
        <v>1265</v>
      </c>
      <c r="O96" s="1">
        <v>0</v>
      </c>
    </row>
    <row r="97" spans="1:15" ht="46.5" x14ac:dyDescent="0.35">
      <c r="A97" s="3">
        <v>96</v>
      </c>
      <c r="B97" s="4" t="s">
        <v>154</v>
      </c>
      <c r="C97" s="9" t="s">
        <v>76</v>
      </c>
      <c r="D97" s="16" t="s">
        <v>213</v>
      </c>
      <c r="E97" s="16" t="s">
        <v>181</v>
      </c>
      <c r="F97" s="16" t="s">
        <v>157</v>
      </c>
      <c r="G97" s="17">
        <v>1191</v>
      </c>
      <c r="H97" s="3" t="str">
        <f t="shared" si="2"/>
        <v>Match</v>
      </c>
      <c r="I97" s="12" t="s">
        <v>76</v>
      </c>
      <c r="J97" s="2">
        <v>325</v>
      </c>
      <c r="K97" s="2">
        <v>312</v>
      </c>
      <c r="L97" s="2">
        <v>0</v>
      </c>
      <c r="M97" s="2">
        <v>0</v>
      </c>
      <c r="N97" s="2">
        <v>13</v>
      </c>
      <c r="O97" s="2">
        <v>0</v>
      </c>
    </row>
    <row r="98" spans="1:15" ht="15.5" x14ac:dyDescent="0.35">
      <c r="A98" s="3">
        <v>97</v>
      </c>
      <c r="B98" s="5" t="s">
        <v>143</v>
      </c>
      <c r="C98" s="9" t="s">
        <v>95</v>
      </c>
      <c r="D98" s="19" t="s">
        <v>194</v>
      </c>
      <c r="E98" s="20" t="s">
        <v>144</v>
      </c>
      <c r="F98" s="19" t="s">
        <v>145</v>
      </c>
      <c r="G98" s="17">
        <v>2506</v>
      </c>
      <c r="H98" s="3" t="str">
        <f t="shared" ref="H98:H125" si="3">IF(C98=I98,"Match","Different")</f>
        <v>Match</v>
      </c>
      <c r="I98" s="13" t="s">
        <v>95</v>
      </c>
      <c r="J98" s="1">
        <v>1825</v>
      </c>
      <c r="K98" s="1">
        <v>0</v>
      </c>
      <c r="L98" s="1">
        <v>3</v>
      </c>
      <c r="M98" s="1">
        <v>0</v>
      </c>
      <c r="N98" s="1">
        <v>1663</v>
      </c>
      <c r="O98" s="1">
        <v>159</v>
      </c>
    </row>
    <row r="99" spans="1:15" ht="46.5" x14ac:dyDescent="0.35">
      <c r="A99" s="3">
        <v>98</v>
      </c>
      <c r="B99" s="4" t="s">
        <v>154</v>
      </c>
      <c r="C99" s="9" t="s">
        <v>77</v>
      </c>
      <c r="D99" s="16" t="s">
        <v>165</v>
      </c>
      <c r="E99" s="21" t="s">
        <v>166</v>
      </c>
      <c r="F99" s="16" t="s">
        <v>157</v>
      </c>
      <c r="G99" s="17">
        <v>32</v>
      </c>
      <c r="H99" s="3" t="str">
        <f t="shared" si="3"/>
        <v>Match</v>
      </c>
      <c r="I99" s="13" t="s">
        <v>77</v>
      </c>
      <c r="J99" s="1">
        <v>32</v>
      </c>
      <c r="K99" s="1">
        <v>0</v>
      </c>
      <c r="L99" s="1">
        <v>0</v>
      </c>
      <c r="M99" s="1">
        <v>0</v>
      </c>
      <c r="N99" s="1">
        <v>32</v>
      </c>
      <c r="O99" s="1">
        <v>0</v>
      </c>
    </row>
    <row r="100" spans="1:15" ht="46.5" x14ac:dyDescent="0.35">
      <c r="A100" s="3">
        <v>99</v>
      </c>
      <c r="B100" s="5" t="s">
        <v>143</v>
      </c>
      <c r="C100" s="9" t="s">
        <v>96</v>
      </c>
      <c r="D100" s="19" t="s">
        <v>190</v>
      </c>
      <c r="E100" s="20" t="s">
        <v>174</v>
      </c>
      <c r="F100" s="19" t="s">
        <v>145</v>
      </c>
      <c r="G100" s="17">
        <v>2345</v>
      </c>
      <c r="H100" s="3" t="str">
        <f t="shared" si="3"/>
        <v>Match</v>
      </c>
      <c r="I100" s="12" t="s">
        <v>96</v>
      </c>
      <c r="J100" s="2">
        <v>864</v>
      </c>
      <c r="K100" s="2">
        <v>823</v>
      </c>
      <c r="L100" s="2">
        <v>8</v>
      </c>
      <c r="M100" s="2">
        <v>0</v>
      </c>
      <c r="N100" s="2">
        <v>18</v>
      </c>
      <c r="O100" s="2">
        <v>15</v>
      </c>
    </row>
    <row r="101" spans="1:15" ht="15.5" x14ac:dyDescent="0.35">
      <c r="A101" s="3">
        <v>100</v>
      </c>
      <c r="B101" s="5" t="s">
        <v>143</v>
      </c>
      <c r="C101" s="9" t="s">
        <v>97</v>
      </c>
      <c r="D101" s="19" t="s">
        <v>193</v>
      </c>
      <c r="E101" s="20" t="s">
        <v>144</v>
      </c>
      <c r="F101" s="19" t="s">
        <v>145</v>
      </c>
      <c r="G101" s="17">
        <v>6268</v>
      </c>
      <c r="H101" s="3" t="str">
        <f t="shared" si="3"/>
        <v>Match</v>
      </c>
      <c r="I101" s="13" t="s">
        <v>97</v>
      </c>
      <c r="J101" s="1">
        <v>2062</v>
      </c>
      <c r="K101" s="1">
        <v>14</v>
      </c>
      <c r="L101" s="1">
        <v>1</v>
      </c>
      <c r="M101" s="1">
        <v>0</v>
      </c>
      <c r="N101" s="1">
        <v>1929</v>
      </c>
      <c r="O101" s="1">
        <v>118</v>
      </c>
    </row>
    <row r="102" spans="1:15" ht="46.5" x14ac:dyDescent="0.35">
      <c r="A102" s="3">
        <v>101</v>
      </c>
      <c r="B102" s="4" t="s">
        <v>123</v>
      </c>
      <c r="C102" s="9" t="s">
        <v>3</v>
      </c>
      <c r="D102" s="16" t="s">
        <v>210</v>
      </c>
      <c r="E102" s="16" t="s">
        <v>125</v>
      </c>
      <c r="F102" s="16" t="s">
        <v>126</v>
      </c>
      <c r="G102" s="17">
        <v>382</v>
      </c>
      <c r="H102" s="3" t="str">
        <f t="shared" si="3"/>
        <v>Match</v>
      </c>
      <c r="I102" s="13" t="s">
        <v>3</v>
      </c>
      <c r="J102" s="1">
        <v>387</v>
      </c>
      <c r="K102" s="1">
        <v>0</v>
      </c>
      <c r="L102" s="1">
        <v>0</v>
      </c>
      <c r="M102" s="1">
        <v>0</v>
      </c>
      <c r="N102" s="1">
        <v>0</v>
      </c>
      <c r="O102" s="1">
        <v>387</v>
      </c>
    </row>
    <row r="103" spans="1:15" ht="46.5" x14ac:dyDescent="0.35">
      <c r="A103" s="3">
        <v>102</v>
      </c>
      <c r="B103" s="4" t="s">
        <v>154</v>
      </c>
      <c r="C103" s="9" t="s">
        <v>78</v>
      </c>
      <c r="D103" s="16" t="s">
        <v>180</v>
      </c>
      <c r="E103" s="16" t="s">
        <v>181</v>
      </c>
      <c r="F103" s="16" t="s">
        <v>157</v>
      </c>
      <c r="G103" s="17">
        <v>3363</v>
      </c>
      <c r="H103" s="3" t="str">
        <f t="shared" si="3"/>
        <v>Match</v>
      </c>
      <c r="I103" s="12" t="s">
        <v>78</v>
      </c>
      <c r="J103" s="2">
        <v>964</v>
      </c>
      <c r="K103" s="2">
        <v>58</v>
      </c>
      <c r="L103" s="2">
        <v>0</v>
      </c>
      <c r="M103" s="2">
        <v>0</v>
      </c>
      <c r="N103" s="2">
        <v>906</v>
      </c>
      <c r="O103" s="2">
        <v>0</v>
      </c>
    </row>
    <row r="104" spans="1:15" ht="31" x14ac:dyDescent="0.35">
      <c r="A104" s="3">
        <v>103</v>
      </c>
      <c r="B104" s="4" t="s">
        <v>131</v>
      </c>
      <c r="C104" s="9" t="s">
        <v>119</v>
      </c>
      <c r="D104" s="16" t="s">
        <v>149</v>
      </c>
      <c r="E104" s="16" t="s">
        <v>133</v>
      </c>
      <c r="F104" s="16" t="s">
        <v>134</v>
      </c>
      <c r="G104" s="17">
        <v>633</v>
      </c>
      <c r="H104" s="3" t="str">
        <f t="shared" si="3"/>
        <v>Match</v>
      </c>
      <c r="I104" s="12" t="s">
        <v>119</v>
      </c>
      <c r="J104" s="2">
        <v>496</v>
      </c>
      <c r="K104" s="2">
        <v>0</v>
      </c>
      <c r="L104" s="2">
        <v>0</v>
      </c>
      <c r="M104" s="2">
        <v>0</v>
      </c>
      <c r="N104" s="2">
        <v>496</v>
      </c>
      <c r="O104" s="2">
        <v>0</v>
      </c>
    </row>
    <row r="105" spans="1:15" ht="31" x14ac:dyDescent="0.35">
      <c r="A105" s="3">
        <v>104</v>
      </c>
      <c r="B105" s="5" t="s">
        <v>143</v>
      </c>
      <c r="C105" s="9" t="s">
        <v>98</v>
      </c>
      <c r="D105" s="19" t="s">
        <v>195</v>
      </c>
      <c r="E105" s="20" t="s">
        <v>179</v>
      </c>
      <c r="F105" s="19" t="s">
        <v>145</v>
      </c>
      <c r="G105" s="17">
        <v>2855</v>
      </c>
      <c r="H105" s="3" t="str">
        <f t="shared" si="3"/>
        <v>Match</v>
      </c>
      <c r="I105" s="12" t="s">
        <v>98</v>
      </c>
      <c r="J105" s="2">
        <v>2071</v>
      </c>
      <c r="K105" s="2">
        <v>1805</v>
      </c>
      <c r="L105" s="2">
        <v>0</v>
      </c>
      <c r="M105" s="2">
        <v>1</v>
      </c>
      <c r="N105" s="2">
        <v>201</v>
      </c>
      <c r="O105" s="2">
        <v>64</v>
      </c>
    </row>
    <row r="106" spans="1:15" ht="31" x14ac:dyDescent="0.35">
      <c r="A106" s="3">
        <v>105</v>
      </c>
      <c r="B106" s="4" t="s">
        <v>154</v>
      </c>
      <c r="C106" s="9" t="s">
        <v>79</v>
      </c>
      <c r="D106" s="16" t="s">
        <v>183</v>
      </c>
      <c r="E106" s="16" t="s">
        <v>182</v>
      </c>
      <c r="F106" s="16" t="s">
        <v>157</v>
      </c>
      <c r="G106" s="17">
        <v>988</v>
      </c>
      <c r="H106" s="3" t="str">
        <f t="shared" si="3"/>
        <v>Match</v>
      </c>
      <c r="I106" s="13" t="s">
        <v>79</v>
      </c>
      <c r="J106" s="1">
        <v>767</v>
      </c>
      <c r="K106" s="1">
        <v>0</v>
      </c>
      <c r="L106" s="1">
        <v>0</v>
      </c>
      <c r="M106" s="1">
        <v>0</v>
      </c>
      <c r="N106" s="1">
        <v>767</v>
      </c>
      <c r="O106" s="1">
        <v>0</v>
      </c>
    </row>
    <row r="107" spans="1:15" ht="31" x14ac:dyDescent="0.35">
      <c r="A107" s="3">
        <v>106</v>
      </c>
      <c r="B107" s="5" t="s">
        <v>143</v>
      </c>
      <c r="C107" s="9" t="s">
        <v>99</v>
      </c>
      <c r="D107" s="19" t="s">
        <v>193</v>
      </c>
      <c r="E107" s="20" t="s">
        <v>179</v>
      </c>
      <c r="F107" s="19" t="s">
        <v>145</v>
      </c>
      <c r="G107" s="17">
        <v>676</v>
      </c>
      <c r="H107" s="3" t="str">
        <f t="shared" si="3"/>
        <v>Match</v>
      </c>
      <c r="I107" s="13" t="s">
        <v>99</v>
      </c>
      <c r="J107" s="1">
        <v>441</v>
      </c>
      <c r="K107" s="1">
        <v>37</v>
      </c>
      <c r="L107" s="1">
        <v>1</v>
      </c>
      <c r="M107" s="1">
        <v>1</v>
      </c>
      <c r="N107" s="1">
        <v>314</v>
      </c>
      <c r="O107" s="1">
        <v>88</v>
      </c>
    </row>
    <row r="108" spans="1:15" ht="31" x14ac:dyDescent="0.35">
      <c r="A108" s="3">
        <v>107</v>
      </c>
      <c r="B108" s="4" t="s">
        <v>154</v>
      </c>
      <c r="C108" s="9" t="s">
        <v>80</v>
      </c>
      <c r="D108" s="16" t="s">
        <v>177</v>
      </c>
      <c r="E108" s="16" t="s">
        <v>182</v>
      </c>
      <c r="F108" s="16" t="s">
        <v>157</v>
      </c>
      <c r="G108" s="17">
        <v>2448</v>
      </c>
      <c r="H108" s="3" t="str">
        <f t="shared" si="3"/>
        <v>Match</v>
      </c>
      <c r="I108" s="12" t="s">
        <v>80</v>
      </c>
      <c r="J108" s="2">
        <v>844</v>
      </c>
      <c r="K108" s="2">
        <v>0</v>
      </c>
      <c r="L108" s="2">
        <v>0</v>
      </c>
      <c r="M108" s="2">
        <v>0</v>
      </c>
      <c r="N108" s="2">
        <v>844</v>
      </c>
      <c r="O108" s="2">
        <v>0</v>
      </c>
    </row>
    <row r="109" spans="1:15" ht="46.5" x14ac:dyDescent="0.35">
      <c r="A109" s="3">
        <v>108</v>
      </c>
      <c r="B109" s="5" t="s">
        <v>150</v>
      </c>
      <c r="C109" s="9" t="s">
        <v>60</v>
      </c>
      <c r="D109" s="19" t="s">
        <v>196</v>
      </c>
      <c r="E109" s="20" t="s">
        <v>152</v>
      </c>
      <c r="F109" s="19" t="s">
        <v>153</v>
      </c>
      <c r="G109" s="17">
        <v>2327</v>
      </c>
      <c r="H109" s="3" t="str">
        <f t="shared" si="3"/>
        <v>Match</v>
      </c>
      <c r="I109" s="13" t="s">
        <v>60</v>
      </c>
      <c r="J109" s="1">
        <v>1382</v>
      </c>
      <c r="K109" s="1">
        <v>1365</v>
      </c>
      <c r="L109" s="1">
        <v>0</v>
      </c>
      <c r="M109" s="1">
        <v>0</v>
      </c>
      <c r="N109" s="1">
        <v>0</v>
      </c>
      <c r="O109" s="1">
        <v>17</v>
      </c>
    </row>
    <row r="110" spans="1:15" ht="31" x14ac:dyDescent="0.35">
      <c r="A110" s="3">
        <v>109</v>
      </c>
      <c r="B110" s="4" t="s">
        <v>127</v>
      </c>
      <c r="C110" s="9" t="s">
        <v>46</v>
      </c>
      <c r="D110" s="18" t="s">
        <v>141</v>
      </c>
      <c r="E110" s="18" t="s">
        <v>164</v>
      </c>
      <c r="F110" s="18" t="s">
        <v>130</v>
      </c>
      <c r="G110" s="17">
        <v>201</v>
      </c>
      <c r="H110" s="3" t="str">
        <f t="shared" si="3"/>
        <v>Match</v>
      </c>
      <c r="I110" s="13" t="s">
        <v>46</v>
      </c>
      <c r="J110" s="1">
        <v>208</v>
      </c>
      <c r="K110" s="1">
        <v>0</v>
      </c>
      <c r="L110" s="1">
        <v>0</v>
      </c>
      <c r="M110" s="1">
        <v>0</v>
      </c>
      <c r="N110" s="1">
        <v>0</v>
      </c>
      <c r="O110" s="1">
        <v>208</v>
      </c>
    </row>
    <row r="111" spans="1:15" ht="15.5" x14ac:dyDescent="0.35">
      <c r="A111" s="3">
        <v>110</v>
      </c>
      <c r="B111" s="5" t="s">
        <v>143</v>
      </c>
      <c r="C111" s="9" t="s">
        <v>100</v>
      </c>
      <c r="D111" s="19" t="s">
        <v>194</v>
      </c>
      <c r="E111" s="20" t="s">
        <v>144</v>
      </c>
      <c r="F111" s="19" t="s">
        <v>145</v>
      </c>
      <c r="G111" s="17">
        <v>658</v>
      </c>
      <c r="H111" s="3" t="str">
        <f t="shared" si="3"/>
        <v>Match</v>
      </c>
      <c r="I111" s="12" t="s">
        <v>100</v>
      </c>
      <c r="J111" s="2">
        <v>672</v>
      </c>
      <c r="K111" s="2">
        <v>2</v>
      </c>
      <c r="L111" s="2">
        <v>1</v>
      </c>
      <c r="M111" s="2">
        <v>0</v>
      </c>
      <c r="N111" s="2">
        <v>562</v>
      </c>
      <c r="O111" s="2">
        <v>107</v>
      </c>
    </row>
    <row r="112" spans="1:15" ht="31" x14ac:dyDescent="0.35">
      <c r="A112" s="3">
        <v>111</v>
      </c>
      <c r="B112" s="4" t="s">
        <v>127</v>
      </c>
      <c r="C112" s="9" t="s">
        <v>47</v>
      </c>
      <c r="D112" s="18" t="s">
        <v>128</v>
      </c>
      <c r="E112" s="18" t="s">
        <v>129</v>
      </c>
      <c r="F112" s="18" t="s">
        <v>130</v>
      </c>
      <c r="G112" s="17">
        <v>1013</v>
      </c>
      <c r="H112" s="3" t="str">
        <f t="shared" si="3"/>
        <v>Match</v>
      </c>
      <c r="I112" s="12" t="s">
        <v>47</v>
      </c>
      <c r="J112" s="2">
        <v>115</v>
      </c>
      <c r="K112" s="2">
        <v>0</v>
      </c>
      <c r="L112" s="2">
        <v>0</v>
      </c>
      <c r="M112" s="2">
        <v>0</v>
      </c>
      <c r="N112" s="2">
        <v>105</v>
      </c>
      <c r="O112" s="2">
        <v>10</v>
      </c>
    </row>
    <row r="113" spans="1:15" ht="46.5" x14ac:dyDescent="0.35">
      <c r="A113" s="3">
        <v>112</v>
      </c>
      <c r="B113" s="5" t="s">
        <v>143</v>
      </c>
      <c r="C113" s="9" t="s">
        <v>101</v>
      </c>
      <c r="D113" s="19" t="s">
        <v>197</v>
      </c>
      <c r="E113" s="20" t="s">
        <v>169</v>
      </c>
      <c r="F113" s="19" t="s">
        <v>145</v>
      </c>
      <c r="G113" s="17">
        <v>980</v>
      </c>
      <c r="H113" s="3" t="str">
        <f t="shared" si="3"/>
        <v>Match</v>
      </c>
      <c r="I113" s="13" t="s">
        <v>101</v>
      </c>
      <c r="J113" s="1">
        <v>438</v>
      </c>
      <c r="K113" s="1">
        <v>354</v>
      </c>
      <c r="L113" s="1">
        <v>2</v>
      </c>
      <c r="M113" s="1">
        <v>0</v>
      </c>
      <c r="N113" s="1">
        <v>0</v>
      </c>
      <c r="O113" s="1">
        <v>82</v>
      </c>
    </row>
    <row r="114" spans="1:15" ht="31" x14ac:dyDescent="0.35">
      <c r="A114" s="3">
        <v>113</v>
      </c>
      <c r="B114" s="4" t="s">
        <v>127</v>
      </c>
      <c r="C114" s="9" t="s">
        <v>48</v>
      </c>
      <c r="D114" s="18" t="s">
        <v>171</v>
      </c>
      <c r="E114" s="18" t="s">
        <v>164</v>
      </c>
      <c r="F114" s="18" t="s">
        <v>130</v>
      </c>
      <c r="G114" s="17">
        <v>2780</v>
      </c>
      <c r="H114" s="3" t="str">
        <f t="shared" si="3"/>
        <v>Match</v>
      </c>
      <c r="I114" s="13" t="s">
        <v>48</v>
      </c>
      <c r="J114" s="1">
        <v>101</v>
      </c>
      <c r="K114" s="1">
        <v>88</v>
      </c>
      <c r="L114" s="1">
        <v>0</v>
      </c>
      <c r="M114" s="1">
        <v>0</v>
      </c>
      <c r="N114" s="1">
        <v>7</v>
      </c>
      <c r="O114" s="1">
        <v>6</v>
      </c>
    </row>
    <row r="115" spans="1:15" ht="31" x14ac:dyDescent="0.35">
      <c r="A115" s="3">
        <v>114</v>
      </c>
      <c r="B115" s="4" t="s">
        <v>127</v>
      </c>
      <c r="C115" s="9" t="s">
        <v>49</v>
      </c>
      <c r="D115" s="18" t="s">
        <v>163</v>
      </c>
      <c r="E115" s="18" t="s">
        <v>164</v>
      </c>
      <c r="F115" s="18" t="s">
        <v>130</v>
      </c>
      <c r="G115" s="17">
        <v>565</v>
      </c>
      <c r="H115" s="3" t="str">
        <f t="shared" si="3"/>
        <v>Match</v>
      </c>
      <c r="I115" s="12" t="s">
        <v>49</v>
      </c>
      <c r="J115" s="2">
        <v>582</v>
      </c>
      <c r="K115" s="2">
        <v>0</v>
      </c>
      <c r="L115" s="2">
        <v>2</v>
      </c>
      <c r="M115" s="2">
        <v>5</v>
      </c>
      <c r="N115" s="2">
        <v>0</v>
      </c>
      <c r="O115" s="2">
        <v>575</v>
      </c>
    </row>
    <row r="116" spans="1:15" ht="46.5" x14ac:dyDescent="0.35">
      <c r="A116" s="3">
        <v>115</v>
      </c>
      <c r="B116" s="4" t="s">
        <v>154</v>
      </c>
      <c r="C116" s="9" t="s">
        <v>81</v>
      </c>
      <c r="D116" s="16" t="s">
        <v>176</v>
      </c>
      <c r="E116" s="16" t="s">
        <v>156</v>
      </c>
      <c r="F116" s="16" t="s">
        <v>157</v>
      </c>
      <c r="G116" s="17">
        <v>139</v>
      </c>
      <c r="H116" s="3" t="str">
        <f t="shared" si="3"/>
        <v>Match</v>
      </c>
      <c r="I116" s="13" t="s">
        <v>81</v>
      </c>
      <c r="J116" s="1">
        <v>140</v>
      </c>
      <c r="K116" s="1">
        <v>0</v>
      </c>
      <c r="L116" s="1">
        <v>0</v>
      </c>
      <c r="M116" s="1">
        <v>0</v>
      </c>
      <c r="N116" s="1">
        <v>0</v>
      </c>
      <c r="O116" s="1">
        <v>140</v>
      </c>
    </row>
    <row r="117" spans="1:15" ht="31" x14ac:dyDescent="0.35">
      <c r="A117" s="3">
        <v>116</v>
      </c>
      <c r="B117" s="5" t="s">
        <v>143</v>
      </c>
      <c r="C117" s="9" t="s">
        <v>102</v>
      </c>
      <c r="D117" s="19" t="s">
        <v>178</v>
      </c>
      <c r="E117" s="20" t="s">
        <v>179</v>
      </c>
      <c r="F117" s="19" t="s">
        <v>145</v>
      </c>
      <c r="G117" s="17">
        <v>1948</v>
      </c>
      <c r="H117" s="3" t="str">
        <f t="shared" si="3"/>
        <v>Match</v>
      </c>
      <c r="I117" s="12" t="s">
        <v>102</v>
      </c>
      <c r="J117" s="2">
        <v>1024</v>
      </c>
      <c r="K117" s="2">
        <v>4</v>
      </c>
      <c r="L117" s="2">
        <v>3</v>
      </c>
      <c r="M117" s="2">
        <v>0</v>
      </c>
      <c r="N117" s="2">
        <v>977</v>
      </c>
      <c r="O117" s="2">
        <v>40</v>
      </c>
    </row>
    <row r="118" spans="1:15" ht="31" x14ac:dyDescent="0.35">
      <c r="A118" s="3">
        <v>117</v>
      </c>
      <c r="B118" s="4" t="s">
        <v>154</v>
      </c>
      <c r="C118" s="9" t="s">
        <v>82</v>
      </c>
      <c r="D118" s="16" t="s">
        <v>213</v>
      </c>
      <c r="E118" s="16" t="s">
        <v>182</v>
      </c>
      <c r="F118" s="16" t="s">
        <v>157</v>
      </c>
      <c r="G118" s="17">
        <v>1652</v>
      </c>
      <c r="H118" s="3" t="str">
        <f t="shared" si="3"/>
        <v>Match</v>
      </c>
      <c r="I118" s="12" t="s">
        <v>82</v>
      </c>
      <c r="J118" s="2">
        <v>557</v>
      </c>
      <c r="K118" s="2">
        <v>468</v>
      </c>
      <c r="L118" s="2">
        <v>1</v>
      </c>
      <c r="M118" s="2">
        <v>0</v>
      </c>
      <c r="N118" s="2">
        <v>88</v>
      </c>
      <c r="O118" s="2">
        <v>0</v>
      </c>
    </row>
    <row r="119" spans="1:15" ht="46.5" x14ac:dyDescent="0.35">
      <c r="A119" s="3">
        <v>118</v>
      </c>
      <c r="B119" s="5" t="s">
        <v>143</v>
      </c>
      <c r="C119" s="9" t="s">
        <v>103</v>
      </c>
      <c r="D119" s="19" t="s">
        <v>197</v>
      </c>
      <c r="E119" s="20" t="s">
        <v>169</v>
      </c>
      <c r="F119" s="19" t="s">
        <v>145</v>
      </c>
      <c r="G119" s="17">
        <v>899</v>
      </c>
      <c r="H119" s="3" t="str">
        <f t="shared" si="3"/>
        <v>Match</v>
      </c>
      <c r="I119" s="13" t="s">
        <v>103</v>
      </c>
      <c r="J119" s="1">
        <v>888</v>
      </c>
      <c r="K119" s="1">
        <v>549</v>
      </c>
      <c r="L119" s="1">
        <v>29</v>
      </c>
      <c r="M119" s="1">
        <v>53</v>
      </c>
      <c r="N119" s="1">
        <v>0</v>
      </c>
      <c r="O119" s="1">
        <v>257</v>
      </c>
    </row>
    <row r="120" spans="1:15" ht="31" x14ac:dyDescent="0.35">
      <c r="A120" s="3">
        <v>119</v>
      </c>
      <c r="B120" s="4" t="s">
        <v>127</v>
      </c>
      <c r="C120" s="9" t="s">
        <v>50</v>
      </c>
      <c r="D120" s="18" t="s">
        <v>191</v>
      </c>
      <c r="E120" s="18" t="s">
        <v>129</v>
      </c>
      <c r="F120" s="18" t="s">
        <v>130</v>
      </c>
      <c r="G120" s="17">
        <v>2509</v>
      </c>
      <c r="H120" s="3" t="str">
        <f t="shared" si="3"/>
        <v>Match</v>
      </c>
      <c r="I120" s="13" t="s">
        <v>50</v>
      </c>
      <c r="J120" s="1">
        <v>729</v>
      </c>
      <c r="K120" s="1">
        <v>33</v>
      </c>
      <c r="L120" s="1">
        <v>0</v>
      </c>
      <c r="M120" s="1">
        <v>0</v>
      </c>
      <c r="N120" s="1">
        <v>676</v>
      </c>
      <c r="O120" s="1">
        <v>20</v>
      </c>
    </row>
    <row r="121" spans="1:15" ht="31" x14ac:dyDescent="0.35">
      <c r="A121" s="3">
        <v>120</v>
      </c>
      <c r="B121" s="4" t="s">
        <v>131</v>
      </c>
      <c r="C121" s="9" t="s">
        <v>120</v>
      </c>
      <c r="D121" s="16" t="s">
        <v>149</v>
      </c>
      <c r="E121" s="16" t="s">
        <v>133</v>
      </c>
      <c r="F121" s="16" t="s">
        <v>134</v>
      </c>
      <c r="G121" s="17">
        <v>128</v>
      </c>
      <c r="H121" s="3" t="str">
        <f t="shared" si="3"/>
        <v>Match</v>
      </c>
      <c r="I121" s="13" t="s">
        <v>120</v>
      </c>
      <c r="J121" s="1">
        <v>128</v>
      </c>
      <c r="K121" s="1">
        <v>0</v>
      </c>
      <c r="L121" s="1">
        <v>0</v>
      </c>
      <c r="M121" s="1">
        <v>0</v>
      </c>
      <c r="N121" s="1">
        <v>0</v>
      </c>
      <c r="O121" s="1">
        <v>128</v>
      </c>
    </row>
    <row r="122" spans="1:15" ht="31" x14ac:dyDescent="0.35">
      <c r="A122" s="3">
        <v>121</v>
      </c>
      <c r="B122" s="4" t="s">
        <v>127</v>
      </c>
      <c r="C122" s="9" t="s">
        <v>51</v>
      </c>
      <c r="D122" s="18" t="s">
        <v>148</v>
      </c>
      <c r="E122" s="18" t="s">
        <v>129</v>
      </c>
      <c r="F122" s="18" t="s">
        <v>130</v>
      </c>
      <c r="G122" s="17">
        <v>1015</v>
      </c>
      <c r="H122" s="3" t="str">
        <f t="shared" si="3"/>
        <v>Match</v>
      </c>
      <c r="I122" s="12" t="s">
        <v>51</v>
      </c>
      <c r="J122" s="2">
        <v>1026</v>
      </c>
      <c r="K122" s="2">
        <v>0</v>
      </c>
      <c r="L122" s="2">
        <v>1</v>
      </c>
      <c r="M122" s="2">
        <v>0</v>
      </c>
      <c r="N122" s="2">
        <v>0</v>
      </c>
      <c r="O122" s="2">
        <v>1025</v>
      </c>
    </row>
    <row r="123" spans="1:15" ht="46.5" x14ac:dyDescent="0.35">
      <c r="A123" s="3">
        <v>122</v>
      </c>
      <c r="B123" s="5" t="s">
        <v>143</v>
      </c>
      <c r="C123" s="9" t="s">
        <v>104</v>
      </c>
      <c r="D123" s="19" t="s">
        <v>198</v>
      </c>
      <c r="E123" s="20" t="s">
        <v>174</v>
      </c>
      <c r="F123" s="19" t="s">
        <v>145</v>
      </c>
      <c r="G123" s="17">
        <v>402</v>
      </c>
      <c r="H123" s="3" t="str">
        <f t="shared" si="3"/>
        <v>Match</v>
      </c>
      <c r="I123" s="12" t="s">
        <v>104</v>
      </c>
      <c r="J123" s="2">
        <v>402</v>
      </c>
      <c r="K123" s="2">
        <v>0</v>
      </c>
      <c r="L123" s="2">
        <v>0</v>
      </c>
      <c r="M123" s="2">
        <v>0</v>
      </c>
      <c r="N123" s="2">
        <v>0</v>
      </c>
      <c r="O123" s="2">
        <v>402</v>
      </c>
    </row>
    <row r="124" spans="1:15" ht="31" x14ac:dyDescent="0.35">
      <c r="A124" s="3">
        <v>123</v>
      </c>
      <c r="B124" s="4" t="s">
        <v>131</v>
      </c>
      <c r="C124" s="9" t="s">
        <v>121</v>
      </c>
      <c r="D124" s="16" t="s">
        <v>159</v>
      </c>
      <c r="E124" s="16" t="s">
        <v>133</v>
      </c>
      <c r="F124" s="16" t="s">
        <v>134</v>
      </c>
      <c r="G124" s="17">
        <v>192</v>
      </c>
      <c r="H124" s="3" t="str">
        <f t="shared" si="3"/>
        <v>Match</v>
      </c>
      <c r="I124" s="12" t="s">
        <v>121</v>
      </c>
      <c r="J124" s="2">
        <v>192</v>
      </c>
      <c r="K124" s="2">
        <v>0</v>
      </c>
      <c r="L124" s="2">
        <v>0</v>
      </c>
      <c r="M124" s="2">
        <v>0</v>
      </c>
      <c r="N124" s="2">
        <v>147</v>
      </c>
      <c r="O124" s="2">
        <v>45</v>
      </c>
    </row>
    <row r="125" spans="1:15" ht="46.5" x14ac:dyDescent="0.35">
      <c r="A125" s="3">
        <v>124</v>
      </c>
      <c r="B125" s="4" t="s">
        <v>154</v>
      </c>
      <c r="C125" s="9" t="s">
        <v>83</v>
      </c>
      <c r="D125" s="16" t="s">
        <v>165</v>
      </c>
      <c r="E125" s="16" t="s">
        <v>166</v>
      </c>
      <c r="F125" s="16" t="s">
        <v>157</v>
      </c>
      <c r="G125" s="17">
        <v>618</v>
      </c>
      <c r="H125" s="3" t="str">
        <f t="shared" si="3"/>
        <v>Match</v>
      </c>
      <c r="I125" s="13" t="s">
        <v>83</v>
      </c>
      <c r="J125" s="1">
        <v>625</v>
      </c>
      <c r="K125" s="1">
        <v>428</v>
      </c>
      <c r="L125" s="1">
        <v>49</v>
      </c>
      <c r="M125" s="1">
        <v>1</v>
      </c>
      <c r="N125" s="1">
        <v>147</v>
      </c>
      <c r="O125" s="1">
        <v>0</v>
      </c>
    </row>
  </sheetData>
  <autoFilter ref="E1:E125" xr:uid="{E4331598-DD78-4204-8625-2E9E48CF8A6D}"/>
  <sortState xmlns:xlrd2="http://schemas.microsoft.com/office/spreadsheetml/2017/richdata2" ref="A2:O126">
    <sortCondition ref="C1:C126"/>
  </sortState>
  <conditionalFormatting sqref="C2:C125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obaid peerzada</cp:lastModifiedBy>
  <dcterms:created xsi:type="dcterms:W3CDTF">2026-07-27T05:00:25Z</dcterms:created>
  <dcterms:modified xsi:type="dcterms:W3CDTF">2026-08-18T02:43:57Z</dcterms:modified>
</cp:coreProperties>
</file>